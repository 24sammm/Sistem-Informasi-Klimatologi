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!Magang\!Magang Bmkg\"/>
    </mc:Choice>
  </mc:AlternateContent>
  <xr:revisionPtr revIDLastSave="0" documentId="13_ncr:1_{3DCBDCC2-8639-46A2-ADE9-2DDCC8BC8A51}" xr6:coauthVersionLast="47" xr6:coauthVersionMax="47" xr10:uidLastSave="{00000000-0000-0000-0000-000000000000}"/>
  <bookViews>
    <workbookView xWindow="0" yWindow="360" windowWidth="19420" windowHeight="10300" xr2:uid="{AAA239A9-C890-46FF-AE5B-B4170DA3E2F2}"/>
  </bookViews>
  <sheets>
    <sheet name=" TEM" sheetId="1" r:id="rId1"/>
    <sheet name="JUM CH" sheetId="2" r:id="rId2"/>
  </sheets>
  <externalReferences>
    <externalReference r:id="rId3"/>
  </externalReferences>
  <definedNames>
    <definedName name="_xlnm.Print_Area" localSheetId="0">' TEM'!$A$1:$M$34</definedName>
    <definedName name="_xlnm.Print_Area" localSheetId="1">'JUM CH'!$A$1:$M$33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8" i="1" l="1"/>
  <c r="AP19" i="1"/>
  <c r="AP20" i="1"/>
  <c r="AP21" i="1"/>
  <c r="AP22" i="1"/>
  <c r="AP17" i="1"/>
  <c r="M46" i="2"/>
  <c r="L46" i="2"/>
  <c r="K46" i="2"/>
  <c r="J46" i="2"/>
  <c r="I46" i="2"/>
  <c r="H46" i="2"/>
  <c r="G46" i="2"/>
  <c r="F46" i="2"/>
  <c r="E46" i="2"/>
  <c r="D46" i="2"/>
  <c r="C46" i="2"/>
  <c r="B46" i="2"/>
  <c r="M45" i="2"/>
  <c r="L45" i="2"/>
  <c r="K45" i="2"/>
  <c r="J45" i="2"/>
  <c r="I45" i="2"/>
  <c r="H45" i="2"/>
  <c r="G45" i="2"/>
  <c r="F45" i="2"/>
  <c r="E45" i="2"/>
  <c r="D45" i="2"/>
  <c r="C45" i="2"/>
  <c r="B45" i="2"/>
  <c r="M44" i="2"/>
  <c r="L44" i="2"/>
  <c r="K44" i="2"/>
  <c r="J44" i="2"/>
  <c r="I44" i="2"/>
  <c r="H44" i="2"/>
  <c r="G44" i="2"/>
  <c r="F44" i="2"/>
  <c r="E44" i="2"/>
  <c r="D44" i="2"/>
  <c r="C44" i="2"/>
  <c r="B44" i="2"/>
  <c r="M35" i="2"/>
  <c r="L35" i="2"/>
  <c r="K35" i="2"/>
  <c r="J35" i="2"/>
  <c r="I35" i="2"/>
  <c r="H35" i="2"/>
  <c r="G35" i="2"/>
  <c r="F35" i="2"/>
  <c r="E35" i="2"/>
  <c r="D35" i="2"/>
  <c r="C35" i="2"/>
  <c r="B35" i="2"/>
  <c r="M34" i="2"/>
  <c r="L34" i="2"/>
  <c r="K34" i="2"/>
  <c r="J34" i="2"/>
  <c r="I34" i="2"/>
  <c r="H34" i="2"/>
  <c r="G34" i="2"/>
  <c r="F34" i="2"/>
  <c r="E34" i="2"/>
  <c r="D34" i="2"/>
  <c r="C34" i="2"/>
  <c r="B34" i="2"/>
  <c r="M33" i="2"/>
  <c r="L33" i="2"/>
  <c r="K33" i="2"/>
  <c r="J33" i="2"/>
  <c r="I33" i="2"/>
  <c r="H33" i="2"/>
  <c r="G33" i="2"/>
  <c r="F33" i="2"/>
  <c r="E33" i="2"/>
  <c r="D33" i="2"/>
  <c r="C33" i="2"/>
  <c r="B33" i="2"/>
  <c r="M25" i="2"/>
  <c r="L25" i="2"/>
  <c r="K25" i="2"/>
  <c r="J25" i="2"/>
  <c r="I25" i="2"/>
  <c r="H25" i="2"/>
  <c r="G25" i="2"/>
  <c r="F25" i="2"/>
  <c r="E25" i="2"/>
  <c r="D25" i="2"/>
  <c r="C25" i="2"/>
  <c r="B25" i="2"/>
  <c r="M24" i="2"/>
  <c r="L24" i="2"/>
  <c r="K24" i="2"/>
  <c r="J24" i="2"/>
  <c r="I24" i="2"/>
  <c r="H24" i="2"/>
  <c r="G24" i="2"/>
  <c r="F24" i="2"/>
  <c r="E24" i="2"/>
  <c r="D24" i="2"/>
  <c r="C24" i="2"/>
  <c r="B24" i="2"/>
  <c r="M23" i="2"/>
  <c r="L23" i="2"/>
  <c r="K23" i="2"/>
  <c r="J23" i="2"/>
  <c r="I23" i="2"/>
  <c r="H23" i="2"/>
  <c r="G23" i="2"/>
  <c r="F23" i="2"/>
  <c r="E23" i="2"/>
  <c r="D23" i="2"/>
  <c r="C23" i="2"/>
  <c r="B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N20" i="2"/>
  <c r="N19" i="2"/>
  <c r="N18" i="2"/>
  <c r="F5" i="2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  <c r="AO23" i="1"/>
  <c r="AA31" i="1" s="1"/>
  <c r="AN23" i="1"/>
  <c r="Z31" i="1" s="1"/>
  <c r="AM23" i="1"/>
  <c r="Y31" i="1" s="1"/>
  <c r="AL23" i="1"/>
  <c r="X31" i="1" s="1"/>
  <c r="AK23" i="1"/>
  <c r="W31" i="1" s="1"/>
  <c r="AJ23" i="1"/>
  <c r="V31" i="1" s="1"/>
  <c r="AI23" i="1"/>
  <c r="U31" i="1" s="1"/>
  <c r="AH23" i="1"/>
  <c r="T31" i="1" s="1"/>
  <c r="AG23" i="1"/>
  <c r="S31" i="1" s="1"/>
  <c r="AF23" i="1"/>
  <c r="R31" i="1" s="1"/>
  <c r="AE23" i="1"/>
  <c r="Q31" i="1" s="1"/>
  <c r="AD23" i="1"/>
  <c r="P31" i="1" s="1"/>
  <c r="AC31" i="1" s="1"/>
  <c r="AA23" i="1"/>
  <c r="AA30" i="1" s="1"/>
  <c r="Z23" i="1"/>
  <c r="Z30" i="1" s="1"/>
  <c r="Y23" i="1"/>
  <c r="Y30" i="1" s="1"/>
  <c r="X23" i="1"/>
  <c r="X30" i="1" s="1"/>
  <c r="W23" i="1"/>
  <c r="W30" i="1" s="1"/>
  <c r="V23" i="1"/>
  <c r="V30" i="1" s="1"/>
  <c r="U23" i="1"/>
  <c r="U30" i="1" s="1"/>
  <c r="T23" i="1"/>
  <c r="T30" i="1" s="1"/>
  <c r="S23" i="1"/>
  <c r="S30" i="1" s="1"/>
  <c r="R23" i="1"/>
  <c r="R30" i="1" s="1"/>
  <c r="Q23" i="1"/>
  <c r="Q30" i="1" s="1"/>
  <c r="P23" i="1"/>
  <c r="P30" i="1" s="1"/>
  <c r="AC30" i="1" s="1"/>
  <c r="M23" i="1"/>
  <c r="AA29" i="1" s="1"/>
  <c r="L23" i="1"/>
  <c r="Z29" i="1" s="1"/>
  <c r="K23" i="1"/>
  <c r="Y29" i="1" s="1"/>
  <c r="J23" i="1"/>
  <c r="X29" i="1" s="1"/>
  <c r="I23" i="1"/>
  <c r="W29" i="1" s="1"/>
  <c r="H23" i="1"/>
  <c r="V29" i="1" s="1"/>
  <c r="G23" i="1"/>
  <c r="U29" i="1" s="1"/>
  <c r="F23" i="1"/>
  <c r="T29" i="1" s="1"/>
  <c r="E23" i="1"/>
  <c r="S29" i="1" s="1"/>
  <c r="D23" i="1"/>
  <c r="R29" i="1" s="1"/>
  <c r="C23" i="1"/>
  <c r="Q29" i="1" s="1"/>
  <c r="B23" i="1"/>
  <c r="P29" i="1" s="1"/>
  <c r="AC29" i="1" s="1"/>
  <c r="AH5" i="1"/>
  <c r="T5" i="1"/>
</calcChain>
</file>

<file path=xl/sharedStrings.xml><?xml version="1.0" encoding="utf-8"?>
<sst xmlns="http://schemas.openxmlformats.org/spreadsheetml/2006/main" count="151" uniqueCount="31">
  <si>
    <t>DATATEMPERATUR UDARA</t>
  </si>
  <si>
    <t>DATATEMPERATUR UDARA MAXIMUM ABSOLUD</t>
  </si>
  <si>
    <t>DATATEMPERATUR UDARA MINIMUM ABSOLUD</t>
  </si>
  <si>
    <t>TAHUN</t>
  </si>
  <si>
    <t>: 2014-2025</t>
  </si>
  <si>
    <t>WILAYAH</t>
  </si>
  <si>
    <t xml:space="preserve">: SERANG </t>
  </si>
  <si>
    <t>LATITUDE</t>
  </si>
  <si>
    <r>
      <t>:  06</t>
    </r>
    <r>
      <rPr>
        <b/>
        <vertAlign val="superscript"/>
        <sz val="11"/>
        <rFont val="Calibri"/>
        <family val="2"/>
      </rPr>
      <t>0</t>
    </r>
    <r>
      <rPr>
        <b/>
        <sz val="11"/>
        <rFont val="Calibri"/>
        <family val="2"/>
      </rPr>
      <t>06' 698"    LS</t>
    </r>
  </si>
  <si>
    <t>LONGITUDE</t>
  </si>
  <si>
    <r>
      <t>:  106</t>
    </r>
    <r>
      <rPr>
        <b/>
        <vertAlign val="superscript"/>
        <sz val="11"/>
        <rFont val="Calibri"/>
        <family val="2"/>
      </rPr>
      <t>0</t>
    </r>
    <r>
      <rPr>
        <b/>
        <sz val="11"/>
        <rFont val="Calibri"/>
        <family val="2"/>
      </rPr>
      <t>07' 915"  BT</t>
    </r>
  </si>
  <si>
    <t>JAN</t>
  </si>
  <si>
    <t>FEB</t>
  </si>
  <si>
    <t>MAR</t>
  </si>
  <si>
    <t>APR</t>
  </si>
  <si>
    <t>MEI</t>
  </si>
  <si>
    <t>JUN</t>
  </si>
  <si>
    <t>JUL</t>
  </si>
  <si>
    <t>AUG</t>
  </si>
  <si>
    <t>SEP</t>
  </si>
  <si>
    <t>OKT</t>
  </si>
  <si>
    <t>NOV</t>
  </si>
  <si>
    <t>DES</t>
  </si>
  <si>
    <t>Rata-rata</t>
  </si>
  <si>
    <t xml:space="preserve">Max </t>
  </si>
  <si>
    <t>Min</t>
  </si>
  <si>
    <t>DATA CURAH HUJAN (mm)</t>
  </si>
  <si>
    <t>Jumlah</t>
  </si>
  <si>
    <t>Max</t>
  </si>
  <si>
    <t>HARI HUJAN</t>
  </si>
  <si>
    <t>HUJAN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</si>
</sst>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8"/>
      <name val="Bookman Old Style"/>
      <family val="1"/>
    </font>
    <font>
      <sz val="8"/>
      <name val="Arial Narrow"/>
      <family val="2"/>
    </font>
    <font>
      <b/>
      <sz val="11"/>
      <name val="Comic Sans MS"/>
      <family val="4"/>
    </font>
    <font>
      <b/>
      <sz val="10"/>
      <name val="Calibri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b/>
      <sz val="10"/>
      <name val="Comic Sans MS"/>
      <family val="4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0"/>
      <name val="Comic Sans MS"/>
      <family val="4"/>
    </font>
    <font>
      <sz val="10"/>
      <color rgb="FFFF000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1" fillId="0" borderId="0" xfId="1"/>
    <xf numFmtId="0" fontId="5" fillId="0" borderId="0" xfId="1" applyFont="1"/>
    <xf numFmtId="0" fontId="6" fillId="0" borderId="0" xfId="1" applyFont="1"/>
    <xf numFmtId="0" fontId="7" fillId="0" borderId="0" xfId="1" applyFont="1" applyAlignment="1">
      <alignment horizontal="left"/>
    </xf>
    <xf numFmtId="0" fontId="7" fillId="0" borderId="0" xfId="1" applyFont="1"/>
    <xf numFmtId="0" fontId="5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1" fontId="12" fillId="0" borderId="1" xfId="1" applyNumberFormat="1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0" fontId="13" fillId="0" borderId="0" xfId="1" applyFont="1"/>
    <xf numFmtId="0" fontId="12" fillId="0" borderId="1" xfId="1" applyFont="1" applyBorder="1" applyAlignment="1">
      <alignment horizontal="center" vertical="center"/>
    </xf>
    <xf numFmtId="164" fontId="13" fillId="0" borderId="0" xfId="1" applyNumberFormat="1" applyFont="1"/>
    <xf numFmtId="1" fontId="12" fillId="0" borderId="2" xfId="1" applyNumberFormat="1" applyFont="1" applyBorder="1" applyAlignment="1">
      <alignment horizontal="center" vertical="center"/>
    </xf>
    <xf numFmtId="164" fontId="14" fillId="0" borderId="2" xfId="1" quotePrefix="1" applyNumberFormat="1" applyFont="1" applyBorder="1" applyAlignment="1">
      <alignment horizontal="center" vertical="center"/>
    </xf>
    <xf numFmtId="164" fontId="14" fillId="0" borderId="2" xfId="1" applyNumberFormat="1" applyFont="1" applyBorder="1" applyAlignment="1">
      <alignment horizontal="center" vertical="center"/>
    </xf>
    <xf numFmtId="164" fontId="12" fillId="0" borderId="2" xfId="1" quotePrefix="1" applyNumberFormat="1" applyFont="1" applyBorder="1" applyAlignment="1">
      <alignment horizontal="center" vertical="center"/>
    </xf>
    <xf numFmtId="164" fontId="14" fillId="0" borderId="1" xfId="1" quotePrefix="1" applyNumberFormat="1" applyFont="1" applyBorder="1" applyAlignment="1">
      <alignment horizontal="center" vertical="center"/>
    </xf>
    <xf numFmtId="164" fontId="14" fillId="0" borderId="1" xfId="1" applyNumberFormat="1" applyFont="1" applyBorder="1" applyAlignment="1">
      <alignment horizontal="center" vertical="center"/>
    </xf>
    <xf numFmtId="164" fontId="14" fillId="0" borderId="3" xfId="1" quotePrefix="1" applyNumberFormat="1" applyFont="1" applyBorder="1" applyAlignment="1">
      <alignment horizontal="center" vertical="center"/>
    </xf>
    <xf numFmtId="164" fontId="14" fillId="0" borderId="3" xfId="1" applyNumberFormat="1" applyFont="1" applyBorder="1" applyAlignment="1">
      <alignment horizontal="center" vertical="center"/>
    </xf>
    <xf numFmtId="1" fontId="12" fillId="0" borderId="4" xfId="1" applyNumberFormat="1" applyFont="1" applyBorder="1" applyAlignment="1">
      <alignment horizontal="center" vertical="center"/>
    </xf>
    <xf numFmtId="164" fontId="14" fillId="0" borderId="4" xfId="1" quotePrefix="1" applyNumberFormat="1" applyFont="1" applyBorder="1" applyAlignment="1">
      <alignment horizontal="center" vertical="center"/>
    </xf>
    <xf numFmtId="164" fontId="14" fillId="0" borderId="4" xfId="1" applyNumberFormat="1" applyFont="1" applyBorder="1" applyAlignment="1">
      <alignment horizontal="center" vertical="center"/>
    </xf>
    <xf numFmtId="164" fontId="12" fillId="0" borderId="3" xfId="1" applyNumberFormat="1" applyFont="1" applyBorder="1" applyAlignment="1">
      <alignment horizontal="center" vertical="center"/>
    </xf>
    <xf numFmtId="164" fontId="12" fillId="0" borderId="5" xfId="1" applyNumberFormat="1" applyFont="1" applyBorder="1" applyAlignment="1">
      <alignment horizontal="center" vertical="center"/>
    </xf>
    <xf numFmtId="164" fontId="12" fillId="0" borderId="2" xfId="1" applyNumberFormat="1" applyFont="1" applyBorder="1" applyAlignment="1">
      <alignment horizontal="center" vertical="center"/>
    </xf>
    <xf numFmtId="164" fontId="12" fillId="0" borderId="0" xfId="1" applyNumberFormat="1" applyFont="1" applyAlignment="1">
      <alignment horizontal="center" vertical="center"/>
    </xf>
    <xf numFmtId="1" fontId="13" fillId="0" borderId="0" xfId="1" applyNumberFormat="1" applyFont="1"/>
    <xf numFmtId="164" fontId="1" fillId="0" borderId="0" xfId="1" applyNumberFormat="1"/>
    <xf numFmtId="164" fontId="1" fillId="0" borderId="0" xfId="1" applyNumberFormat="1" applyAlignment="1">
      <alignment horizontal="center" vertical="center"/>
    </xf>
    <xf numFmtId="164" fontId="16" fillId="0" borderId="0" xfId="1" applyNumberFormat="1" applyFont="1"/>
    <xf numFmtId="17" fontId="1" fillId="0" borderId="0" xfId="1" applyNumberFormat="1"/>
    <xf numFmtId="0" fontId="17" fillId="0" borderId="0" xfId="1" applyFont="1"/>
    <xf numFmtId="1" fontId="1" fillId="0" borderId="0" xfId="1" applyNumberFormat="1" applyAlignment="1">
      <alignment horizontal="center" vertical="center"/>
    </xf>
    <xf numFmtId="0" fontId="1" fillId="0" borderId="0" xfId="1" applyAlignment="1">
      <alignment horizontal="center"/>
    </xf>
    <xf numFmtId="164" fontId="1" fillId="0" borderId="0" xfId="1" applyNumberFormat="1" applyAlignment="1">
      <alignment horizontal="center"/>
    </xf>
    <xf numFmtId="164" fontId="1" fillId="0" borderId="0" xfId="1" quotePrefix="1" applyNumberFormat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164" fontId="1" fillId="5" borderId="3" xfId="1" applyNumberFormat="1" applyFill="1" applyBorder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7" fillId="0" borderId="0" xfId="2" applyFont="1" applyAlignment="1">
      <alignment horizontal="left"/>
    </xf>
    <xf numFmtId="0" fontId="7" fillId="0" borderId="0" xfId="2" applyFont="1"/>
    <xf numFmtId="0" fontId="15" fillId="2" borderId="1" xfId="1" applyFont="1" applyFill="1" applyBorder="1" applyAlignment="1">
      <alignment horizontal="center" vertical="center"/>
    </xf>
    <xf numFmtId="1" fontId="12" fillId="0" borderId="3" xfId="1" applyNumberFormat="1" applyFont="1" applyBorder="1" applyAlignment="1">
      <alignment horizontal="center" vertical="center"/>
    </xf>
    <xf numFmtId="164" fontId="18" fillId="0" borderId="0" xfId="1" applyNumberFormat="1" applyFont="1"/>
    <xf numFmtId="164" fontId="1" fillId="0" borderId="2" xfId="1" applyNumberFormat="1" applyBorder="1" applyAlignment="1">
      <alignment horizontal="center" vertical="center"/>
    </xf>
    <xf numFmtId="164" fontId="1" fillId="5" borderId="2" xfId="2" applyNumberForma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164" fontId="1" fillId="6" borderId="2" xfId="2" applyNumberFormat="1" applyFill="1" applyBorder="1" applyAlignment="1">
      <alignment horizontal="center" vertical="center"/>
    </xf>
    <xf numFmtId="164" fontId="12" fillId="7" borderId="3" xfId="1" applyNumberFormat="1" applyFont="1" applyFill="1" applyBorder="1" applyAlignment="1">
      <alignment horizontal="center" vertical="center"/>
    </xf>
    <xf numFmtId="164" fontId="12" fillId="8" borderId="3" xfId="1" applyNumberFormat="1" applyFont="1" applyFill="1" applyBorder="1" applyAlignment="1">
      <alignment horizontal="center" vertical="center"/>
    </xf>
    <xf numFmtId="1" fontId="1" fillId="0" borderId="0" xfId="1" applyNumberFormat="1"/>
    <xf numFmtId="164" fontId="1" fillId="5" borderId="3" xfId="2" applyNumberFormat="1" applyFill="1" applyBorder="1" applyAlignment="1">
      <alignment horizontal="center" vertical="center"/>
    </xf>
    <xf numFmtId="164" fontId="12" fillId="2" borderId="3" xfId="1" applyNumberFormat="1" applyFont="1" applyFill="1" applyBorder="1" applyAlignment="1">
      <alignment horizontal="center" vertical="center"/>
    </xf>
    <xf numFmtId="1" fontId="18" fillId="0" borderId="2" xfId="1" applyNumberFormat="1" applyFont="1" applyBorder="1" applyAlignment="1">
      <alignment horizontal="center" vertical="center"/>
    </xf>
    <xf numFmtId="164" fontId="19" fillId="0" borderId="2" xfId="1" quotePrefix="1" applyNumberFormat="1" applyFont="1" applyBorder="1" applyAlignment="1">
      <alignment horizontal="center" vertical="center"/>
    </xf>
    <xf numFmtId="164" fontId="19" fillId="0" borderId="2" xfId="1" applyNumberFormat="1" applyFont="1" applyBorder="1" applyAlignment="1">
      <alignment horizontal="center" vertical="center"/>
    </xf>
    <xf numFmtId="1" fontId="18" fillId="0" borderId="3" xfId="1" applyNumberFormat="1" applyFont="1" applyBorder="1" applyAlignment="1">
      <alignment horizontal="center" vertical="center"/>
    </xf>
    <xf numFmtId="164" fontId="19" fillId="0" borderId="3" xfId="1" quotePrefix="1" applyNumberFormat="1" applyFont="1" applyBorder="1" applyAlignment="1">
      <alignment horizontal="center" vertical="center"/>
    </xf>
    <xf numFmtId="164" fontId="19" fillId="0" borderId="3" xfId="1" applyNumberFormat="1" applyFont="1" applyBorder="1" applyAlignment="1">
      <alignment horizontal="center" vertical="center"/>
    </xf>
    <xf numFmtId="164" fontId="18" fillId="7" borderId="3" xfId="1" applyNumberFormat="1" applyFont="1" applyFill="1" applyBorder="1" applyAlignment="1">
      <alignment horizontal="center" vertical="center"/>
    </xf>
    <xf numFmtId="164" fontId="18" fillId="8" borderId="3" xfId="1" applyNumberFormat="1" applyFont="1" applyFill="1" applyBorder="1" applyAlignment="1">
      <alignment horizontal="center" vertical="center"/>
    </xf>
    <xf numFmtId="164" fontId="18" fillId="2" borderId="3" xfId="1" applyNumberFormat="1" applyFont="1" applyFill="1" applyBorder="1" applyAlignment="1">
      <alignment horizontal="center" vertical="center"/>
    </xf>
    <xf numFmtId="164" fontId="10" fillId="7" borderId="3" xfId="1" applyNumberFormat="1" applyFont="1" applyFill="1" applyBorder="1" applyAlignment="1">
      <alignment horizontal="center" vertical="center"/>
    </xf>
    <xf numFmtId="164" fontId="10" fillId="8" borderId="3" xfId="1" applyNumberFormat="1" applyFont="1" applyFill="1" applyBorder="1" applyAlignment="1">
      <alignment horizontal="center" vertical="center"/>
    </xf>
    <xf numFmtId="164" fontId="10" fillId="2" borderId="3" xfId="1" applyNumberFormat="1" applyFont="1" applyFill="1" applyBorder="1" applyAlignment="1">
      <alignment horizontal="center" vertical="center"/>
    </xf>
    <xf numFmtId="0" fontId="15" fillId="3" borderId="2" xfId="1" applyFont="1" applyFill="1" applyBorder="1" applyAlignment="1">
      <alignment horizontal="center" vertical="center"/>
    </xf>
    <xf numFmtId="0" fontId="1" fillId="4" borderId="6" xfId="1" applyFill="1" applyBorder="1" applyAlignment="1">
      <alignment horizontal="center" vertical="center"/>
    </xf>
    <xf numFmtId="0" fontId="1" fillId="4" borderId="7" xfId="1" applyFill="1" applyBorder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5" fillId="3" borderId="1" xfId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AEC4851C-1966-424B-B255-10C5E970C451}"/>
    <cellStyle name="Normal 3" xfId="1" xr:uid="{819343A5-E241-43CC-B3C5-395408C21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200" b="1"/>
              <a:t>GRAFIK TEMPERATUR</a:t>
            </a:r>
            <a:r>
              <a:rPr lang="id-ID" sz="1200" b="1" baseline="0"/>
              <a:t> UDARA TAHUNAN 20</a:t>
            </a:r>
            <a:r>
              <a:rPr lang="en-US" sz="1200" b="1" baseline="0"/>
              <a:t>14</a:t>
            </a:r>
            <a:r>
              <a:rPr lang="id-ID" sz="1200" b="1" baseline="0"/>
              <a:t> - 20</a:t>
            </a:r>
            <a:r>
              <a:rPr lang="en-US" sz="1200" b="1" baseline="0"/>
              <a:t>25</a:t>
            </a:r>
            <a:r>
              <a:rPr lang="id-ID" sz="1200" b="1" baseline="0"/>
              <a:t>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200" b="1" baseline="0"/>
              <a:t>STASIUN METEOROLOGI </a:t>
            </a:r>
            <a:r>
              <a:rPr lang="en-US" sz="1200" b="1" baseline="0"/>
              <a:t>MARITIM MERAK</a:t>
            </a:r>
            <a:endParaRPr lang="en-US" sz="1200" b="1"/>
          </a:p>
        </c:rich>
      </c:tx>
      <c:layout>
        <c:manualLayout>
          <c:xMode val="edge"/>
          <c:yMode val="edge"/>
          <c:x val="0.18925739406249131"/>
          <c:y val="4.34693877551020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141277834970275"/>
          <c:y val="0.18415796239755744"/>
          <c:w val="0.79033786854381716"/>
          <c:h val="0.5974229403089395"/>
        </c:manualLayout>
      </c:layout>
      <c:lineChart>
        <c:grouping val="standard"/>
        <c:varyColors val="0"/>
        <c:ser>
          <c:idx val="1"/>
          <c:order val="0"/>
          <c:tx>
            <c:v>Temp Rata-rata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 TEM'!$P$27:$AA$27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 TEM'!$P$29:$AA$29</c:f>
              <c:numCache>
                <c:formatCode>0.0</c:formatCode>
                <c:ptCount val="12"/>
                <c:pt idx="0">
                  <c:v>27.050880376344086</c:v>
                </c:pt>
                <c:pt idx="1">
                  <c:v>27.249236025588392</c:v>
                </c:pt>
                <c:pt idx="2">
                  <c:v>27.46269041218638</c:v>
                </c:pt>
                <c:pt idx="3">
                  <c:v>27.836956018518521</c:v>
                </c:pt>
                <c:pt idx="4">
                  <c:v>28.11700268817204</c:v>
                </c:pt>
                <c:pt idx="5">
                  <c:v>27.409578106332138</c:v>
                </c:pt>
                <c:pt idx="6">
                  <c:v>27.254681899641579</c:v>
                </c:pt>
                <c:pt idx="7">
                  <c:v>27.408254928315412</c:v>
                </c:pt>
                <c:pt idx="8">
                  <c:v>27.640542114695339</c:v>
                </c:pt>
                <c:pt idx="9">
                  <c:v>28.230286738351253</c:v>
                </c:pt>
                <c:pt idx="10">
                  <c:v>27.903010005973723</c:v>
                </c:pt>
                <c:pt idx="11">
                  <c:v>27.575134408602153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C-4E2B-921F-6A2A78ACF982}"/>
            </c:ext>
          </c:extLst>
        </c:ser>
        <c:ser>
          <c:idx val="2"/>
          <c:order val="1"/>
          <c:tx>
            <c:v>Temp Max Absolud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 TEM'!$P$27:$AA$27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 TEM'!$P$30:$AA$30</c:f>
              <c:numCache>
                <c:formatCode>0.0</c:formatCode>
                <c:ptCount val="12"/>
                <c:pt idx="0">
                  <c:v>35</c:v>
                </c:pt>
                <c:pt idx="1">
                  <c:v>35.6</c:v>
                </c:pt>
                <c:pt idx="2">
                  <c:v>35.6</c:v>
                </c:pt>
                <c:pt idx="3">
                  <c:v>36.1</c:v>
                </c:pt>
                <c:pt idx="4">
                  <c:v>35.6</c:v>
                </c:pt>
                <c:pt idx="5">
                  <c:v>35.200000000000003</c:v>
                </c:pt>
                <c:pt idx="6">
                  <c:v>34.200000000000003</c:v>
                </c:pt>
                <c:pt idx="7">
                  <c:v>35</c:v>
                </c:pt>
                <c:pt idx="8">
                  <c:v>36.5</c:v>
                </c:pt>
                <c:pt idx="9">
                  <c:v>37.4</c:v>
                </c:pt>
                <c:pt idx="10">
                  <c:v>37.200000000000003</c:v>
                </c:pt>
                <c:pt idx="11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C-4E2B-921F-6A2A78ACF982}"/>
            </c:ext>
          </c:extLst>
        </c:ser>
        <c:ser>
          <c:idx val="3"/>
          <c:order val="2"/>
          <c:tx>
            <c:v>Temp Min Absolud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 TEM'!$P$27:$AA$27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 TEM'!$P$31:$AA$31</c:f>
              <c:numCache>
                <c:formatCode>0.0</c:formatCode>
                <c:ptCount val="12"/>
                <c:pt idx="0">
                  <c:v>21.8</c:v>
                </c:pt>
                <c:pt idx="1">
                  <c:v>20.2</c:v>
                </c:pt>
                <c:pt idx="2">
                  <c:v>20.5</c:v>
                </c:pt>
                <c:pt idx="3">
                  <c:v>22.2</c:v>
                </c:pt>
                <c:pt idx="4">
                  <c:v>22.2</c:v>
                </c:pt>
                <c:pt idx="5">
                  <c:v>20.6</c:v>
                </c:pt>
                <c:pt idx="6">
                  <c:v>19</c:v>
                </c:pt>
                <c:pt idx="7">
                  <c:v>19.600000000000001</c:v>
                </c:pt>
                <c:pt idx="8">
                  <c:v>19.600000000000001</c:v>
                </c:pt>
                <c:pt idx="9">
                  <c:v>21</c:v>
                </c:pt>
                <c:pt idx="10">
                  <c:v>21.4</c:v>
                </c:pt>
                <c:pt idx="11">
                  <c:v>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2C-4E2B-921F-6A2A78ACF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42432"/>
        <c:axId val="69843968"/>
      </c:lineChart>
      <c:catAx>
        <c:axId val="698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43968"/>
        <c:crosses val="autoZero"/>
        <c:auto val="1"/>
        <c:lblAlgn val="ctr"/>
        <c:lblOffset val="100"/>
        <c:noMultiLvlLbl val="0"/>
      </c:catAx>
      <c:valAx>
        <c:axId val="6984396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42432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030735557348618"/>
          <c:y val="0.91068830681879065"/>
          <c:w val="0.7588288213089972"/>
          <c:h val="5.739836091917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pct10">
      <a:fgClr>
        <a:schemeClr val="accent4">
          <a:lumMod val="40000"/>
          <a:lumOff val="60000"/>
        </a:schemeClr>
      </a:fgClr>
      <a:bgClr>
        <a:schemeClr val="bg1"/>
      </a:bgClr>
    </a:patt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200" b="1"/>
              <a:t>GRAFIK CURAH</a:t>
            </a:r>
            <a:r>
              <a:rPr lang="id-ID" sz="1200" b="1" baseline="0"/>
              <a:t> HUJAN TAHUNAN 201</a:t>
            </a:r>
            <a:r>
              <a:rPr lang="en-US" sz="1200" b="1" baseline="0"/>
              <a:t>4</a:t>
            </a:r>
            <a:r>
              <a:rPr lang="id-ID" sz="1200" b="1" baseline="0"/>
              <a:t> - 202</a:t>
            </a:r>
            <a:r>
              <a:rPr lang="en-US" sz="1200" b="1" baseline="0"/>
              <a:t>5</a:t>
            </a:r>
            <a:r>
              <a:rPr lang="id-ID" sz="1200" b="1" baseline="0"/>
              <a:t>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200" b="1" baseline="0"/>
              <a:t>STASIUN METEOROLOGI MARITIM </a:t>
            </a:r>
            <a:r>
              <a:rPr lang="en-US" sz="1200" b="1" baseline="0"/>
              <a:t>MERAK</a:t>
            </a:r>
            <a:endParaRPr lang="en-US" sz="1200" b="1"/>
          </a:p>
        </c:rich>
      </c:tx>
      <c:layout>
        <c:manualLayout>
          <c:xMode val="edge"/>
          <c:yMode val="edge"/>
          <c:x val="0.25286163434517683"/>
          <c:y val="4.34693877551020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078011779628026"/>
          <c:y val="0.23177702787151608"/>
          <c:w val="0.82861537044711531"/>
          <c:h val="0.62916885389326338"/>
        </c:manualLayout>
      </c:layout>
      <c:barChart>
        <c:barDir val="col"/>
        <c:grouping val="clustered"/>
        <c:varyColors val="0"/>
        <c:ser>
          <c:idx val="1"/>
          <c:order val="0"/>
          <c:tx>
            <c:v>Jumlah 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'JUM CH'!$B$10:$M$10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CH'!$B$23:$M$23</c:f>
              <c:numCache>
                <c:formatCode>0.0</c:formatCode>
                <c:ptCount val="12"/>
                <c:pt idx="0">
                  <c:v>3376.4999999999995</c:v>
                </c:pt>
                <c:pt idx="1">
                  <c:v>2871.0000000000005</c:v>
                </c:pt>
                <c:pt idx="2">
                  <c:v>2567</c:v>
                </c:pt>
                <c:pt idx="3">
                  <c:v>1775.9</c:v>
                </c:pt>
                <c:pt idx="4">
                  <c:v>1556.7999999999997</c:v>
                </c:pt>
                <c:pt idx="5">
                  <c:v>1322.5</c:v>
                </c:pt>
                <c:pt idx="6">
                  <c:v>848.19999999999982</c:v>
                </c:pt>
                <c:pt idx="7">
                  <c:v>471.90000000000003</c:v>
                </c:pt>
                <c:pt idx="8">
                  <c:v>684.5</c:v>
                </c:pt>
                <c:pt idx="9">
                  <c:v>956.1</c:v>
                </c:pt>
                <c:pt idx="10">
                  <c:v>1624.6000000000004</c:v>
                </c:pt>
                <c:pt idx="11">
                  <c:v>2527.8999999999996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0-4CCC-A230-40CF166C505F}"/>
            </c:ext>
          </c:extLst>
        </c:ser>
        <c:ser>
          <c:idx val="0"/>
          <c:order val="1"/>
          <c:tx>
            <c:v>CH Max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'JUM CH'!$B$10:$M$10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CH'!$B$24:$M$24</c:f>
              <c:numCache>
                <c:formatCode>0.0</c:formatCode>
                <c:ptCount val="12"/>
                <c:pt idx="0">
                  <c:v>522.4</c:v>
                </c:pt>
                <c:pt idx="1">
                  <c:v>351.1</c:v>
                </c:pt>
                <c:pt idx="2">
                  <c:v>310.5</c:v>
                </c:pt>
                <c:pt idx="3">
                  <c:v>234</c:v>
                </c:pt>
                <c:pt idx="4">
                  <c:v>305.09999999999997</c:v>
                </c:pt>
                <c:pt idx="5">
                  <c:v>196.6</c:v>
                </c:pt>
                <c:pt idx="6">
                  <c:v>232.6</c:v>
                </c:pt>
                <c:pt idx="7">
                  <c:v>176.8</c:v>
                </c:pt>
                <c:pt idx="8">
                  <c:v>207.9</c:v>
                </c:pt>
                <c:pt idx="9">
                  <c:v>200.39999999999998</c:v>
                </c:pt>
                <c:pt idx="10">
                  <c:v>209.20000000000002</c:v>
                </c:pt>
                <c:pt idx="11">
                  <c:v>409.09999999999997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0-4CCC-A230-40CF166C505F}"/>
            </c:ext>
          </c:extLst>
        </c:ser>
        <c:ser>
          <c:idx val="2"/>
          <c:order val="2"/>
          <c:tx>
            <c:v>CH Min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'JUM CH'!$B$10:$M$10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CH'!$B$25:$M$25</c:f>
              <c:numCache>
                <c:formatCode>0.0</c:formatCode>
                <c:ptCount val="12"/>
                <c:pt idx="0">
                  <c:v>109.10000000000001</c:v>
                </c:pt>
                <c:pt idx="1">
                  <c:v>120.99999999999999</c:v>
                </c:pt>
                <c:pt idx="2">
                  <c:v>102.59999999999998</c:v>
                </c:pt>
                <c:pt idx="3">
                  <c:v>71.899999999999991</c:v>
                </c:pt>
                <c:pt idx="4">
                  <c:v>39.1</c:v>
                </c:pt>
                <c:pt idx="5">
                  <c:v>10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54.100000000000009</c:v>
                </c:pt>
                <c:pt idx="11">
                  <c:v>77.8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0-4CCC-A230-40CF166C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51328"/>
        <c:axId val="75957376"/>
        <c:extLst/>
      </c:barChart>
      <c:catAx>
        <c:axId val="7765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7376"/>
        <c:crosses val="autoZero"/>
        <c:auto val="1"/>
        <c:lblAlgn val="ctr"/>
        <c:lblOffset val="100"/>
        <c:noMultiLvlLbl val="0"/>
      </c:catAx>
      <c:valAx>
        <c:axId val="7595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1328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2403337142665778"/>
          <c:y val="0.16511011123609548"/>
          <c:w val="0.33537496808114292"/>
          <c:h val="5.3571803524559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pct20">
      <a:fgClr>
        <a:schemeClr val="accent4">
          <a:lumMod val="40000"/>
          <a:lumOff val="60000"/>
        </a:schemeClr>
      </a:fgClr>
      <a:bgClr>
        <a:schemeClr val="bg1"/>
      </a:bgClr>
    </a:patt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200" b="1"/>
              <a:t>GRAFIK CURAH</a:t>
            </a:r>
            <a:r>
              <a:rPr lang="id-ID" sz="1200" b="1" baseline="0"/>
              <a:t> HUJAN TAHUNAN 2017 - 2021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200" b="1" baseline="0"/>
              <a:t>STASIUN METEOROLOGI MARITIM SERANG </a:t>
            </a:r>
            <a:endParaRPr lang="en-US" sz="1200" b="1"/>
          </a:p>
        </c:rich>
      </c:tx>
      <c:layout>
        <c:manualLayout>
          <c:xMode val="edge"/>
          <c:yMode val="edge"/>
          <c:x val="0.25286163434517683"/>
          <c:y val="4.34693877551020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078011779628026"/>
          <c:y val="0.23177702787151608"/>
          <c:w val="0.82861537044711531"/>
          <c:h val="0.62916885389326338"/>
        </c:manualLayout>
      </c:layout>
      <c:barChart>
        <c:barDir val="col"/>
        <c:grouping val="clustered"/>
        <c:varyColors val="0"/>
        <c:ser>
          <c:idx val="1"/>
          <c:order val="0"/>
          <c:tx>
            <c:v>Jumlah 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'JUM CH'!$B$38:$M$38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CH'!$B$44:$M$44</c:f>
              <c:numCache>
                <c:formatCode>0.0</c:formatCode>
                <c:ptCount val="12"/>
                <c:pt idx="0">
                  <c:v>1150.5999999999999</c:v>
                </c:pt>
                <c:pt idx="1">
                  <c:v>1060.6000000000001</c:v>
                </c:pt>
                <c:pt idx="2">
                  <c:v>1129.3999999999999</c:v>
                </c:pt>
                <c:pt idx="3">
                  <c:v>924.9</c:v>
                </c:pt>
                <c:pt idx="4">
                  <c:v>591.30000000000007</c:v>
                </c:pt>
                <c:pt idx="5">
                  <c:v>528.70000000000005</c:v>
                </c:pt>
                <c:pt idx="6">
                  <c:v>136.69999999999999</c:v>
                </c:pt>
                <c:pt idx="7">
                  <c:v>162.19999999999999</c:v>
                </c:pt>
                <c:pt idx="8">
                  <c:v>350.6</c:v>
                </c:pt>
                <c:pt idx="9">
                  <c:v>451.79999999999995</c:v>
                </c:pt>
                <c:pt idx="10">
                  <c:v>705.19999999999993</c:v>
                </c:pt>
                <c:pt idx="11">
                  <c:v>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B-4B9F-9386-D85C572880A1}"/>
            </c:ext>
          </c:extLst>
        </c:ser>
        <c:ser>
          <c:idx val="0"/>
          <c:order val="1"/>
          <c:tx>
            <c:v>CH Max</c:v>
          </c:tx>
          <c:invertIfNegative val="0"/>
          <c:cat>
            <c:strRef>
              <c:f>'JUM CH'!$B$38:$M$38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CH'!$B$45:$M$45</c:f>
              <c:numCache>
                <c:formatCode>0.0</c:formatCode>
                <c:ptCount val="12"/>
                <c:pt idx="0">
                  <c:v>368.1</c:v>
                </c:pt>
                <c:pt idx="1">
                  <c:v>297.90000000000003</c:v>
                </c:pt>
                <c:pt idx="2">
                  <c:v>288.99999999999994</c:v>
                </c:pt>
                <c:pt idx="3">
                  <c:v>234</c:v>
                </c:pt>
                <c:pt idx="4">
                  <c:v>191.60000000000002</c:v>
                </c:pt>
                <c:pt idx="5">
                  <c:v>196.6</c:v>
                </c:pt>
                <c:pt idx="6">
                  <c:v>45.3</c:v>
                </c:pt>
                <c:pt idx="7">
                  <c:v>101.10000000000001</c:v>
                </c:pt>
                <c:pt idx="8">
                  <c:v>207.9</c:v>
                </c:pt>
                <c:pt idx="9">
                  <c:v>200.39999999999998</c:v>
                </c:pt>
                <c:pt idx="10">
                  <c:v>209.20000000000002</c:v>
                </c:pt>
                <c:pt idx="11">
                  <c:v>235.70000000000005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4B-4B9F-9386-D85C572880A1}"/>
            </c:ext>
          </c:extLst>
        </c:ser>
        <c:ser>
          <c:idx val="2"/>
          <c:order val="2"/>
          <c:tx>
            <c:v>CH Min</c:v>
          </c:tx>
          <c:invertIfNegative val="0"/>
          <c:cat>
            <c:strRef>
              <c:f>'JUM CH'!$B$38:$M$38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CH'!$B$46:$M$46</c:f>
              <c:numCache>
                <c:formatCode>0.0</c:formatCode>
                <c:ptCount val="12"/>
                <c:pt idx="0">
                  <c:v>109.10000000000001</c:v>
                </c:pt>
                <c:pt idx="1">
                  <c:v>120.99999999999999</c:v>
                </c:pt>
                <c:pt idx="2">
                  <c:v>120.40000000000002</c:v>
                </c:pt>
                <c:pt idx="3">
                  <c:v>150.69999999999999</c:v>
                </c:pt>
                <c:pt idx="4">
                  <c:v>49.900000000000006</c:v>
                </c:pt>
                <c:pt idx="5">
                  <c:v>10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11.2</c:v>
                </c:pt>
                <c:pt idx="10">
                  <c:v>74.599999999999994</c:v>
                </c:pt>
                <c:pt idx="11">
                  <c:v>152.5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4B-4B9F-9386-D85C57288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51328"/>
        <c:axId val="75957376"/>
        <c:extLst/>
      </c:barChart>
      <c:catAx>
        <c:axId val="7765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7376"/>
        <c:crosses val="autoZero"/>
        <c:auto val="1"/>
        <c:lblAlgn val="ctr"/>
        <c:lblOffset val="100"/>
        <c:noMultiLvlLbl val="0"/>
      </c:catAx>
      <c:valAx>
        <c:axId val="7595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1328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2403337142665778"/>
          <c:y val="0.16511011123609548"/>
          <c:w val="0.33229953911263482"/>
          <c:h val="5.3571803524559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pct20">
      <a:fgClr>
        <a:schemeClr val="accent4">
          <a:lumMod val="40000"/>
          <a:lumOff val="60000"/>
        </a:schemeClr>
      </a:fgClr>
      <a:bgClr>
        <a:schemeClr val="bg1"/>
      </a:bgClr>
    </a:patt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200" b="1"/>
              <a:t>GRAFIK CURAH</a:t>
            </a:r>
            <a:r>
              <a:rPr lang="id-ID" sz="1200" b="1" baseline="0"/>
              <a:t> HUJAN TAHUNAN 2012 - 2016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200" b="1" baseline="0"/>
              <a:t>STASIUN METEOROLOGI MARITIM SERANG </a:t>
            </a:r>
            <a:endParaRPr lang="en-US" sz="1200" b="1"/>
          </a:p>
        </c:rich>
      </c:tx>
      <c:layout>
        <c:manualLayout>
          <c:xMode val="edge"/>
          <c:yMode val="edge"/>
          <c:x val="0.25286163434517683"/>
          <c:y val="4.34693877551020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078011779628026"/>
          <c:y val="0.23177702787151608"/>
          <c:w val="0.82861537044711531"/>
          <c:h val="0.62916885389326338"/>
        </c:manualLayout>
      </c:layout>
      <c:barChart>
        <c:barDir val="col"/>
        <c:grouping val="clustered"/>
        <c:varyColors val="0"/>
        <c:ser>
          <c:idx val="1"/>
          <c:order val="0"/>
          <c:tx>
            <c:v>Jumlah 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'JUM CH'!$B$27:$M$27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CH'!$B$33:$M$33</c:f>
              <c:numCache>
                <c:formatCode>0.0</c:formatCode>
                <c:ptCount val="12"/>
                <c:pt idx="0">
                  <c:v>1591.3000000000002</c:v>
                </c:pt>
                <c:pt idx="1">
                  <c:v>1118.5999999999999</c:v>
                </c:pt>
                <c:pt idx="2">
                  <c:v>839.9</c:v>
                </c:pt>
                <c:pt idx="3">
                  <c:v>551</c:v>
                </c:pt>
                <c:pt idx="4">
                  <c:v>654.50000000000011</c:v>
                </c:pt>
                <c:pt idx="5">
                  <c:v>337.09999999999997</c:v>
                </c:pt>
                <c:pt idx="6">
                  <c:v>631.70000000000005</c:v>
                </c:pt>
                <c:pt idx="7">
                  <c:v>229.7</c:v>
                </c:pt>
                <c:pt idx="8">
                  <c:v>223.90000000000003</c:v>
                </c:pt>
                <c:pt idx="9">
                  <c:v>425.8</c:v>
                </c:pt>
                <c:pt idx="10">
                  <c:v>547.1</c:v>
                </c:pt>
                <c:pt idx="11">
                  <c:v>949.09999999999991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7-4EBA-9832-01AD3ED45852}"/>
            </c:ext>
          </c:extLst>
        </c:ser>
        <c:ser>
          <c:idx val="0"/>
          <c:order val="1"/>
          <c:tx>
            <c:v>CH Max</c:v>
          </c:tx>
          <c:invertIfNegative val="0"/>
          <c:cat>
            <c:strRef>
              <c:f>'JUM CH'!$B$27:$M$27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CH'!$B$34:$M$34</c:f>
              <c:numCache>
                <c:formatCode>0.0</c:formatCode>
                <c:ptCount val="12"/>
                <c:pt idx="0">
                  <c:v>424</c:v>
                </c:pt>
                <c:pt idx="1">
                  <c:v>271.90000000000003</c:v>
                </c:pt>
                <c:pt idx="2">
                  <c:v>228.80000000000004</c:v>
                </c:pt>
                <c:pt idx="3">
                  <c:v>184</c:v>
                </c:pt>
                <c:pt idx="4">
                  <c:v>261</c:v>
                </c:pt>
                <c:pt idx="5">
                  <c:v>92.999999999999986</c:v>
                </c:pt>
                <c:pt idx="6">
                  <c:v>243.6</c:v>
                </c:pt>
                <c:pt idx="7">
                  <c:v>121.8</c:v>
                </c:pt>
                <c:pt idx="8">
                  <c:v>159.90000000000003</c:v>
                </c:pt>
                <c:pt idx="9">
                  <c:v>164.8</c:v>
                </c:pt>
                <c:pt idx="10">
                  <c:v>155</c:v>
                </c:pt>
                <c:pt idx="11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7-4EBA-9832-01AD3ED45852}"/>
            </c:ext>
          </c:extLst>
        </c:ser>
        <c:ser>
          <c:idx val="2"/>
          <c:order val="2"/>
          <c:tx>
            <c:v>CH Min</c:v>
          </c:tx>
          <c:invertIfNegative val="0"/>
          <c:cat>
            <c:strRef>
              <c:f>'JUM CH'!$B$27:$M$27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CH'!$B$35:$M$35</c:f>
              <c:numCache>
                <c:formatCode>0.0</c:formatCode>
                <c:ptCount val="12"/>
                <c:pt idx="0">
                  <c:v>125.89999999999999</c:v>
                </c:pt>
                <c:pt idx="1">
                  <c:v>181</c:v>
                </c:pt>
                <c:pt idx="2">
                  <c:v>91</c:v>
                </c:pt>
                <c:pt idx="3">
                  <c:v>71.899999999999991</c:v>
                </c:pt>
                <c:pt idx="4">
                  <c:v>39.1</c:v>
                </c:pt>
                <c:pt idx="5">
                  <c:v>36</c:v>
                </c:pt>
                <c:pt idx="6">
                  <c:v>4.7</c:v>
                </c:pt>
                <c:pt idx="7">
                  <c:v>0</c:v>
                </c:pt>
                <c:pt idx="8">
                  <c:v>0.2</c:v>
                </c:pt>
                <c:pt idx="9">
                  <c:v>21</c:v>
                </c:pt>
                <c:pt idx="10">
                  <c:v>51</c:v>
                </c:pt>
                <c:pt idx="1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7-4EBA-9832-01AD3ED45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51328"/>
        <c:axId val="75957376"/>
        <c:extLst/>
      </c:barChart>
      <c:catAx>
        <c:axId val="7765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7376"/>
        <c:crosses val="autoZero"/>
        <c:auto val="1"/>
        <c:lblAlgn val="ctr"/>
        <c:lblOffset val="100"/>
        <c:noMultiLvlLbl val="0"/>
      </c:catAx>
      <c:valAx>
        <c:axId val="7595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1328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2403337142665778"/>
          <c:y val="0.16511011123609548"/>
          <c:w val="0.31658413484831249"/>
          <c:h val="5.2941547012505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pct20">
      <a:fgClr>
        <a:schemeClr val="accent4">
          <a:lumMod val="40000"/>
          <a:lumOff val="60000"/>
        </a:schemeClr>
      </a:fgClr>
      <a:bgClr>
        <a:schemeClr val="bg1"/>
      </a:bgClr>
    </a:patt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200" b="1"/>
              <a:t>GRAFIK CURAH</a:t>
            </a:r>
            <a:r>
              <a:rPr lang="id-ID" sz="1200" b="1" baseline="0"/>
              <a:t> HUJAN TAHUNAN 201</a:t>
            </a:r>
            <a:r>
              <a:rPr lang="en-US" sz="1200" b="1" baseline="0"/>
              <a:t>4</a:t>
            </a:r>
            <a:r>
              <a:rPr lang="id-ID" sz="1200" b="1" baseline="0"/>
              <a:t> - 202</a:t>
            </a:r>
            <a:r>
              <a:rPr lang="en-US" sz="1200" b="1" baseline="0"/>
              <a:t>5</a:t>
            </a:r>
            <a:r>
              <a:rPr lang="id-ID" sz="1200" b="1" baseline="0"/>
              <a:t>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200" b="1" baseline="0"/>
              <a:t>STASIUN METEOROLOGI MARITIM </a:t>
            </a:r>
            <a:r>
              <a:rPr lang="en-US" sz="1200" b="1" baseline="0"/>
              <a:t>MERAK</a:t>
            </a:r>
            <a:endParaRPr lang="en-US" sz="1200" b="1"/>
          </a:p>
        </c:rich>
      </c:tx>
      <c:layout>
        <c:manualLayout>
          <c:xMode val="edge"/>
          <c:yMode val="edge"/>
          <c:x val="0.25286163434517683"/>
          <c:y val="4.34693877551020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078011779628026"/>
          <c:y val="0.23177702787151608"/>
          <c:w val="0.82861537044711531"/>
          <c:h val="0.6291688538932633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'JUM CH'!$Q$20:$AB$20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CH'!$Q$21:$AB$21</c:f>
              <c:numCache>
                <c:formatCode>0.0</c:formatCode>
                <c:ptCount val="12"/>
                <c:pt idx="0">
                  <c:v>3376.4999999999995</c:v>
                </c:pt>
                <c:pt idx="1">
                  <c:v>2871.0000000000005</c:v>
                </c:pt>
                <c:pt idx="2">
                  <c:v>2567</c:v>
                </c:pt>
                <c:pt idx="3">
                  <c:v>1775.9</c:v>
                </c:pt>
                <c:pt idx="4">
                  <c:v>1556.7999999999997</c:v>
                </c:pt>
                <c:pt idx="5">
                  <c:v>1322.5</c:v>
                </c:pt>
                <c:pt idx="6">
                  <c:v>848.19999999999982</c:v>
                </c:pt>
                <c:pt idx="7">
                  <c:v>471.90000000000003</c:v>
                </c:pt>
                <c:pt idx="8">
                  <c:v>684.5</c:v>
                </c:pt>
                <c:pt idx="9">
                  <c:v>956.1</c:v>
                </c:pt>
                <c:pt idx="10">
                  <c:v>1624.6000000000004</c:v>
                </c:pt>
                <c:pt idx="11">
                  <c:v>2527.8999999999996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B-4353-B5CA-ADA7D56A8ADC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'JUM CH'!$Q$20:$AB$20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'JUM CH'!$Q$22:$AB$22</c:f>
              <c:numCache>
                <c:formatCode>0.0</c:formatCode>
                <c:ptCount val="12"/>
                <c:pt idx="0">
                  <c:v>84.8</c:v>
                </c:pt>
                <c:pt idx="1">
                  <c:v>89.6</c:v>
                </c:pt>
                <c:pt idx="2">
                  <c:v>180.4</c:v>
                </c:pt>
                <c:pt idx="3">
                  <c:v>99.8</c:v>
                </c:pt>
                <c:pt idx="4">
                  <c:v>89.6</c:v>
                </c:pt>
                <c:pt idx="5">
                  <c:v>84.2</c:v>
                </c:pt>
                <c:pt idx="6">
                  <c:v>61</c:v>
                </c:pt>
                <c:pt idx="7">
                  <c:v>43.5</c:v>
                </c:pt>
                <c:pt idx="8">
                  <c:v>105.8</c:v>
                </c:pt>
                <c:pt idx="9">
                  <c:v>68.5</c:v>
                </c:pt>
                <c:pt idx="10">
                  <c:v>77.400000000000006</c:v>
                </c:pt>
                <c:pt idx="1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B-4353-B5CA-ADA7D56A8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51328"/>
        <c:axId val="75957376"/>
        <c:extLst/>
      </c:barChart>
      <c:catAx>
        <c:axId val="7765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7376"/>
        <c:crosses val="autoZero"/>
        <c:auto val="1"/>
        <c:lblAlgn val="ctr"/>
        <c:lblOffset val="100"/>
        <c:noMultiLvlLbl val="0"/>
      </c:catAx>
      <c:valAx>
        <c:axId val="7595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1328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2403337142665778"/>
          <c:y val="0.16511011123609548"/>
          <c:w val="0.33537496808114292"/>
          <c:h val="5.3571803524559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pct20">
      <a:fgClr>
        <a:schemeClr val="accent4">
          <a:lumMod val="40000"/>
          <a:lumOff val="60000"/>
        </a:schemeClr>
      </a:fgClr>
      <a:bgClr>
        <a:schemeClr val="bg1"/>
      </a:bgClr>
    </a:patt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29</xdr:row>
      <xdr:rowOff>139066</xdr:rowOff>
    </xdr:from>
    <xdr:to>
      <xdr:col>12</xdr:col>
      <xdr:colOff>114300</xdr:colOff>
      <xdr:row>52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F8605-9627-41C4-8C3F-0AE0CECD1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0.38692</cdr:x>
      <cdr:y>0.83041</cdr:y>
    </cdr:from>
    <cdr:to>
      <cdr:x>0.53084</cdr:x>
      <cdr:y>0.89541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85944" y="3100578"/>
          <a:ext cx="775894" cy="242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d-ID" sz="1100"/>
            <a:t>B u l a n</a:t>
          </a:r>
        </a:p>
      </cdr:txBody>
    </cdr:sp>
  </cdr:relSizeAnchor>
  <cdr:relSizeAnchor xmlns:cdr="http://schemas.openxmlformats.org/drawingml/2006/chartDrawing">
    <cdr:from>
      <cdr:x>0.02991</cdr:x>
      <cdr:y>0.2825</cdr:y>
    </cdr:from>
    <cdr:to>
      <cdr:x>0.06355</cdr:x>
      <cdr:y>0.54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52401" y="1076326"/>
          <a:ext cx="171450" cy="981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d-ID" sz="1100"/>
        </a:p>
      </cdr:txBody>
    </cdr:sp>
  </cdr:relSizeAnchor>
  <cdr:relSizeAnchor xmlns:cdr="http://schemas.openxmlformats.org/drawingml/2006/chartDrawing">
    <cdr:from>
      <cdr:x>0.00561</cdr:x>
      <cdr:y>0.22361</cdr:y>
    </cdr:from>
    <cdr:to>
      <cdr:x>0.0729</cdr:x>
      <cdr:y>0.56398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1142" y="855344"/>
          <a:ext cx="373538" cy="13020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r>
            <a:rPr lang="id-ID" sz="1100"/>
            <a:t>Temperatur</a:t>
          </a:r>
          <a:r>
            <a:rPr lang="en-US" sz="1100"/>
            <a:t> (◦C)</a:t>
          </a:r>
          <a:endParaRPr lang="id-ID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504824</xdr:colOff>
      <xdr:row>4</xdr:row>
      <xdr:rowOff>167640</xdr:rowOff>
    </xdr:from>
    <xdr:to>
      <xdr:col>24</xdr:col>
      <xdr:colOff>285749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E8D17-D260-46BA-A777-D0F0C42D4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409575</xdr:colOff>
      <xdr:row>42</xdr:row>
      <xdr:rowOff>209549</xdr:rowOff>
    </xdr:from>
    <xdr:to>
      <xdr:col>24</xdr:col>
      <xdr:colOff>152400</xdr:colOff>
      <xdr:row>60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21242E-5B7F-4DEF-B66E-C17C4287A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251460</xdr:colOff>
      <xdr:row>27</xdr:row>
      <xdr:rowOff>177165</xdr:rowOff>
    </xdr:from>
    <xdr:to>
      <xdr:col>25</xdr:col>
      <xdr:colOff>89535</xdr:colOff>
      <xdr:row>40</xdr:row>
      <xdr:rowOff>203835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E64BC7-2609-4056-8171-AE3E07B13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617220</xdr:colOff>
      <xdr:row>1</xdr:row>
      <xdr:rowOff>274320</xdr:rowOff>
    </xdr:from>
    <xdr:to>
      <xdr:col>37</xdr:col>
      <xdr:colOff>493395</xdr:colOff>
      <xdr:row>17</xdr:row>
      <xdr:rowOff>245745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4901B1-BDED-49BC-980D-72239A083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0.42998</cdr:x>
      <cdr:y>0.89946</cdr:y>
    </cdr:from>
    <cdr:to>
      <cdr:x>0.5739</cdr:x>
      <cdr:y>0.96446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567916" y="3598278"/>
          <a:ext cx="859515" cy="2600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d-ID" sz="1100"/>
            <a:t>B u l a n</a:t>
          </a:r>
        </a:p>
      </cdr:txBody>
    </cdr:sp>
  </cdr:relSizeAnchor>
  <cdr:relSizeAnchor xmlns:cdr="http://schemas.openxmlformats.org/drawingml/2006/chartDrawing">
    <cdr:from>
      <cdr:x>0.02991</cdr:x>
      <cdr:y>0.2825</cdr:y>
    </cdr:from>
    <cdr:to>
      <cdr:x>0.06355</cdr:x>
      <cdr:y>0.54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52401" y="1076326"/>
          <a:ext cx="171450" cy="981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d-ID" sz="1100"/>
        </a:p>
      </cdr:txBody>
    </cdr:sp>
  </cdr:relSizeAnchor>
  <cdr:relSizeAnchor xmlns:cdr="http://schemas.openxmlformats.org/drawingml/2006/chartDrawing">
    <cdr:from>
      <cdr:x>0.00242</cdr:x>
      <cdr:y>0.33221</cdr:y>
    </cdr:from>
    <cdr:to>
      <cdr:x>0.06971</cdr:x>
      <cdr:y>0.59255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4821" y="1314450"/>
          <a:ext cx="412123" cy="10300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r>
            <a:rPr lang="id-ID" sz="1100"/>
            <a:t>Jumlah CH</a:t>
          </a:r>
          <a:r>
            <a:rPr lang="en-US" sz="1100"/>
            <a:t> (mm)</a:t>
          </a:r>
          <a:endParaRPr lang="id-ID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0.42998</cdr:x>
      <cdr:y>0.89946</cdr:y>
    </cdr:from>
    <cdr:to>
      <cdr:x>0.5739</cdr:x>
      <cdr:y>0.96446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567916" y="3598278"/>
          <a:ext cx="859515" cy="2600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d-ID" sz="1100"/>
            <a:t>B u l a n</a:t>
          </a:r>
        </a:p>
      </cdr:txBody>
    </cdr:sp>
  </cdr:relSizeAnchor>
  <cdr:relSizeAnchor xmlns:cdr="http://schemas.openxmlformats.org/drawingml/2006/chartDrawing">
    <cdr:from>
      <cdr:x>0.02991</cdr:x>
      <cdr:y>0.2825</cdr:y>
    </cdr:from>
    <cdr:to>
      <cdr:x>0.06355</cdr:x>
      <cdr:y>0.54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52401" y="1076326"/>
          <a:ext cx="171450" cy="981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d-ID" sz="1100"/>
        </a:p>
      </cdr:txBody>
    </cdr:sp>
  </cdr:relSizeAnchor>
  <cdr:relSizeAnchor xmlns:cdr="http://schemas.openxmlformats.org/drawingml/2006/chartDrawing">
    <cdr:from>
      <cdr:x>0.00242</cdr:x>
      <cdr:y>0.39005</cdr:y>
    </cdr:from>
    <cdr:to>
      <cdr:x>0.06971</cdr:x>
      <cdr:y>0.59255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4454" y="1560401"/>
          <a:ext cx="401868" cy="8101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r>
            <a:rPr lang="id-ID" sz="1100"/>
            <a:t>Jumlah CH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0.42998</cdr:x>
      <cdr:y>0.89946</cdr:y>
    </cdr:from>
    <cdr:to>
      <cdr:x>0.5739</cdr:x>
      <cdr:y>0.96446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567916" y="3598278"/>
          <a:ext cx="859515" cy="2600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d-ID" sz="1100"/>
            <a:t>B u l a n</a:t>
          </a:r>
        </a:p>
      </cdr:txBody>
    </cdr:sp>
  </cdr:relSizeAnchor>
  <cdr:relSizeAnchor xmlns:cdr="http://schemas.openxmlformats.org/drawingml/2006/chartDrawing">
    <cdr:from>
      <cdr:x>0.02991</cdr:x>
      <cdr:y>0.2825</cdr:y>
    </cdr:from>
    <cdr:to>
      <cdr:x>0.06355</cdr:x>
      <cdr:y>0.54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52401" y="1076326"/>
          <a:ext cx="171450" cy="981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d-ID" sz="1100"/>
        </a:p>
      </cdr:txBody>
    </cdr:sp>
  </cdr:relSizeAnchor>
  <cdr:relSizeAnchor xmlns:cdr="http://schemas.openxmlformats.org/drawingml/2006/chartDrawing">
    <cdr:from>
      <cdr:x>0.00242</cdr:x>
      <cdr:y>0.39005</cdr:y>
    </cdr:from>
    <cdr:to>
      <cdr:x>0.06971</cdr:x>
      <cdr:y>0.59255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4454" y="1560401"/>
          <a:ext cx="401868" cy="8101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r>
            <a:rPr lang="id-ID" sz="1100"/>
            <a:t>Jumlah CH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0.42998</cdr:x>
      <cdr:y>0.89946</cdr:y>
    </cdr:from>
    <cdr:to>
      <cdr:x>0.5739</cdr:x>
      <cdr:y>0.96446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567916" y="3598278"/>
          <a:ext cx="859515" cy="2600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d-ID" sz="1100"/>
            <a:t>B u l a n</a:t>
          </a:r>
        </a:p>
      </cdr:txBody>
    </cdr:sp>
  </cdr:relSizeAnchor>
  <cdr:relSizeAnchor xmlns:cdr="http://schemas.openxmlformats.org/drawingml/2006/chartDrawing">
    <cdr:from>
      <cdr:x>0.02991</cdr:x>
      <cdr:y>0.2825</cdr:y>
    </cdr:from>
    <cdr:to>
      <cdr:x>0.06355</cdr:x>
      <cdr:y>0.54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52401" y="1076326"/>
          <a:ext cx="171450" cy="981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d-ID" sz="1100"/>
        </a:p>
      </cdr:txBody>
    </cdr:sp>
  </cdr:relSizeAnchor>
  <cdr:relSizeAnchor xmlns:cdr="http://schemas.openxmlformats.org/drawingml/2006/chartDrawing">
    <cdr:from>
      <cdr:x>0.00242</cdr:x>
      <cdr:y>0.33221</cdr:y>
    </cdr:from>
    <cdr:to>
      <cdr:x>0.06971</cdr:x>
      <cdr:y>0.59255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4821" y="1314450"/>
          <a:ext cx="412123" cy="10300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r>
            <a:rPr lang="id-ID" sz="1100"/>
            <a:t>Jumlah CH</a:t>
          </a:r>
          <a:r>
            <a:rPr lang="en-US" sz="1100"/>
            <a:t> (mm)</a:t>
          </a:r>
          <a:endParaRPr lang="id-ID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UCKUP%20DATIN_STAMAR%20SERANG\BMKG_Serang\CANTIK\Bekup\MyWork\Update\96737\Cantik\2.%20PELAYANAN%20DATA\PELAYANAN%20DATA%202026\Data%20KLIM_2015-2025.xlsx" TargetMode="External"/><Relationship Id="rId1" Type="http://schemas.openxmlformats.org/officeDocument/2006/relationships/externalLinkPath" Target="PELAYANAN%20DATA%202026/Data%20KLIM_201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ah 15 harian (2)"/>
      <sheetName val="olah 15 harian"/>
      <sheetName val="Sheet1"/>
      <sheetName val="Sheet2"/>
      <sheetName val="Sheet3"/>
      <sheetName val="Sheet4"/>
      <sheetName val="Sheet8"/>
      <sheetName val="RH"/>
      <sheetName val=" TEM"/>
      <sheetName val="JUM CH"/>
      <sheetName val="CH MAX blnan"/>
      <sheetName val="TEKANAN"/>
      <sheetName val="6. Angin bulanan "/>
      <sheetName val="HH"/>
      <sheetName val="LPM"/>
      <sheetName val="LPM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7">
          <cell r="P27" t="str">
            <v>JAN</v>
          </cell>
        </row>
      </sheetData>
      <sheetData sheetId="9">
        <row r="10">
          <cell r="B10" t="str">
            <v>JAN</v>
          </cell>
        </row>
      </sheetData>
      <sheetData sheetId="10">
        <row r="23">
          <cell r="A23" t="str">
            <v xml:space="preserve">Max </v>
          </cell>
          <cell r="B23">
            <v>84.8</v>
          </cell>
          <cell r="C23">
            <v>89.6</v>
          </cell>
          <cell r="D23">
            <v>180.4</v>
          </cell>
          <cell r="E23">
            <v>99.8</v>
          </cell>
          <cell r="F23">
            <v>89.6</v>
          </cell>
          <cell r="G23">
            <v>84.2</v>
          </cell>
          <cell r="H23">
            <v>61</v>
          </cell>
          <cell r="I23">
            <v>43.5</v>
          </cell>
          <cell r="J23">
            <v>105.8</v>
          </cell>
          <cell r="K23">
            <v>68.5</v>
          </cell>
          <cell r="L23">
            <v>77.400000000000006</v>
          </cell>
          <cell r="M23">
            <v>94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43BF-748A-4871-B7F7-BDFEAC39F72E}">
  <sheetPr>
    <tabColor rgb="FFFF99FF"/>
  </sheetPr>
  <dimension ref="A1:AP56"/>
  <sheetViews>
    <sheetView tabSelected="1" topLeftCell="A3" zoomScale="46" zoomScaleNormal="46" workbookViewId="0">
      <selection activeCell="AQ19" sqref="AQ19"/>
    </sheetView>
  </sheetViews>
  <sheetFormatPr defaultColWidth="9.1796875" defaultRowHeight="12.5" x14ac:dyDescent="0.25"/>
  <cols>
    <col min="1" max="1" width="10.54296875" style="1" customWidth="1"/>
    <col min="2" max="2" width="7.26953125" style="1" customWidth="1"/>
    <col min="3" max="4" width="7.453125" style="1" customWidth="1"/>
    <col min="5" max="5" width="7" style="1" customWidth="1"/>
    <col min="6" max="6" width="7.26953125" style="1" customWidth="1"/>
    <col min="7" max="7" width="7.54296875" style="1" customWidth="1"/>
    <col min="8" max="8" width="7.453125" style="1" customWidth="1"/>
    <col min="9" max="9" width="7" style="1" customWidth="1"/>
    <col min="10" max="10" width="6.54296875" style="1" customWidth="1"/>
    <col min="11" max="11" width="7" style="1" customWidth="1"/>
    <col min="12" max="12" width="6.81640625" style="1" customWidth="1"/>
    <col min="13" max="13" width="7.453125" style="1" customWidth="1"/>
    <col min="14" max="14" width="9.1796875" style="1"/>
    <col min="15" max="15" width="10.453125" style="1" customWidth="1"/>
    <col min="16" max="28" width="7.7265625" style="1" customWidth="1"/>
    <col min="29" max="29" width="10.81640625" style="1" customWidth="1"/>
    <col min="30" max="41" width="7.7265625" style="1" customWidth="1"/>
    <col min="42" max="16384" width="9.1796875" style="1"/>
  </cols>
  <sheetData>
    <row r="1" spans="1:41" ht="15.5" x14ac:dyDescent="0.35"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41" ht="22.5" x14ac:dyDescent="0.45"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41" x14ac:dyDescent="0.25"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41" ht="17" x14ac:dyDescent="0.5">
      <c r="D4" s="2" t="s">
        <v>0</v>
      </c>
      <c r="R4" s="2" t="s">
        <v>1</v>
      </c>
      <c r="AF4" s="2" t="s">
        <v>2</v>
      </c>
    </row>
    <row r="5" spans="1:41" ht="17" x14ac:dyDescent="0.5">
      <c r="D5" s="2" t="s">
        <v>3</v>
      </c>
      <c r="F5" s="2" t="s">
        <v>4</v>
      </c>
      <c r="R5" s="2" t="s">
        <v>3</v>
      </c>
      <c r="T5" s="2" t="str">
        <f>$F$5</f>
        <v>: 2014-2025</v>
      </c>
      <c r="AF5" s="2" t="s">
        <v>3</v>
      </c>
      <c r="AH5" s="2" t="str">
        <f>$F$5</f>
        <v>: 2014-2025</v>
      </c>
    </row>
    <row r="6" spans="1:41" ht="17" x14ac:dyDescent="0.5">
      <c r="D6" s="2" t="s">
        <v>5</v>
      </c>
      <c r="F6" s="2" t="s">
        <v>6</v>
      </c>
      <c r="R6" s="2" t="s">
        <v>5</v>
      </c>
      <c r="T6" s="2" t="s">
        <v>6</v>
      </c>
      <c r="AF6" s="2" t="s">
        <v>5</v>
      </c>
      <c r="AH6" s="2" t="s">
        <v>6</v>
      </c>
    </row>
    <row r="7" spans="1:41" ht="16.5" x14ac:dyDescent="0.35">
      <c r="D7" s="3" t="s">
        <v>7</v>
      </c>
      <c r="F7" s="4" t="s">
        <v>8</v>
      </c>
      <c r="R7" s="3" t="s">
        <v>7</v>
      </c>
      <c r="T7" s="4" t="s">
        <v>8</v>
      </c>
      <c r="AF7" s="3" t="s">
        <v>7</v>
      </c>
      <c r="AH7" s="4" t="s">
        <v>8</v>
      </c>
    </row>
    <row r="8" spans="1:41" ht="16.5" x14ac:dyDescent="0.35">
      <c r="D8" s="3" t="s">
        <v>9</v>
      </c>
      <c r="F8" s="5" t="s">
        <v>10</v>
      </c>
      <c r="R8" s="3" t="s">
        <v>9</v>
      </c>
      <c r="T8" s="5" t="s">
        <v>10</v>
      </c>
      <c r="AF8" s="3" t="s">
        <v>9</v>
      </c>
      <c r="AH8" s="5" t="s">
        <v>10</v>
      </c>
    </row>
    <row r="9" spans="1:41" ht="17" x14ac:dyDescent="0.5">
      <c r="D9" s="2"/>
      <c r="F9" s="2"/>
      <c r="R9" s="2"/>
      <c r="T9" s="2"/>
      <c r="AF9" s="2"/>
      <c r="AH9" s="2"/>
    </row>
    <row r="10" spans="1:41" ht="30" customHeight="1" x14ac:dyDescent="0.25">
      <c r="A10" s="6" t="s">
        <v>3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  <c r="K10" s="6" t="s">
        <v>20</v>
      </c>
      <c r="L10" s="6" t="s">
        <v>21</v>
      </c>
      <c r="M10" s="6" t="s">
        <v>22</v>
      </c>
      <c r="O10" s="7" t="s">
        <v>3</v>
      </c>
      <c r="P10" s="7" t="s">
        <v>11</v>
      </c>
      <c r="Q10" s="7" t="s">
        <v>12</v>
      </c>
      <c r="R10" s="7" t="s">
        <v>13</v>
      </c>
      <c r="S10" s="7" t="s">
        <v>14</v>
      </c>
      <c r="T10" s="7" t="s">
        <v>15</v>
      </c>
      <c r="U10" s="7" t="s">
        <v>16</v>
      </c>
      <c r="V10" s="7" t="s">
        <v>17</v>
      </c>
      <c r="W10" s="7" t="s">
        <v>18</v>
      </c>
      <c r="X10" s="7" t="s">
        <v>19</v>
      </c>
      <c r="Y10" s="7" t="s">
        <v>20</v>
      </c>
      <c r="Z10" s="7" t="s">
        <v>21</v>
      </c>
      <c r="AA10" s="7" t="s">
        <v>22</v>
      </c>
      <c r="AC10" s="8" t="s">
        <v>3</v>
      </c>
      <c r="AD10" s="8" t="s">
        <v>11</v>
      </c>
      <c r="AE10" s="8" t="s">
        <v>12</v>
      </c>
      <c r="AF10" s="8" t="s">
        <v>13</v>
      </c>
      <c r="AG10" s="8" t="s">
        <v>14</v>
      </c>
      <c r="AH10" s="8" t="s">
        <v>15</v>
      </c>
      <c r="AI10" s="8" t="s">
        <v>16</v>
      </c>
      <c r="AJ10" s="8" t="s">
        <v>17</v>
      </c>
      <c r="AK10" s="8" t="s">
        <v>18</v>
      </c>
      <c r="AL10" s="8" t="s">
        <v>19</v>
      </c>
      <c r="AM10" s="8" t="s">
        <v>20</v>
      </c>
      <c r="AN10" s="8" t="s">
        <v>21</v>
      </c>
      <c r="AO10" s="8" t="s">
        <v>22</v>
      </c>
    </row>
    <row r="11" spans="1:41" s="11" customFormat="1" ht="30" customHeight="1" x14ac:dyDescent="0.35">
      <c r="A11" s="9">
        <v>2014</v>
      </c>
      <c r="B11" s="10">
        <v>26.129919354838719</v>
      </c>
      <c r="C11" s="10">
        <v>26.518541666666664</v>
      </c>
      <c r="D11" s="10">
        <v>27.079704301075264</v>
      </c>
      <c r="E11" s="10">
        <v>28.036805555555553</v>
      </c>
      <c r="F11" s="10">
        <v>28.113709677419354</v>
      </c>
      <c r="G11" s="10">
        <v>27.525555555555549</v>
      </c>
      <c r="H11" s="10">
        <v>27.119892473118281</v>
      </c>
      <c r="I11" s="10">
        <v>27.393413978494621</v>
      </c>
      <c r="J11" s="10">
        <v>27.403333333333332</v>
      </c>
      <c r="K11" s="10">
        <v>28.391666666666666</v>
      </c>
      <c r="L11" s="10">
        <v>27.678888888888888</v>
      </c>
      <c r="M11" s="10">
        <v>27.401612903225811</v>
      </c>
      <c r="O11" s="9">
        <v>2014</v>
      </c>
      <c r="P11" s="12">
        <v>32.6</v>
      </c>
      <c r="Q11" s="12">
        <v>34</v>
      </c>
      <c r="R11" s="12">
        <v>34.799999999999997</v>
      </c>
      <c r="S11" s="12">
        <v>34.4</v>
      </c>
      <c r="T11" s="12">
        <v>34</v>
      </c>
      <c r="U11" s="12">
        <v>34.200000000000003</v>
      </c>
      <c r="V11" s="12">
        <v>34.200000000000003</v>
      </c>
      <c r="W11" s="12">
        <v>33.799999999999997</v>
      </c>
      <c r="X11" s="12">
        <v>35.4</v>
      </c>
      <c r="Y11" s="12">
        <v>34.799999999999997</v>
      </c>
      <c r="Z11" s="10">
        <v>35</v>
      </c>
      <c r="AA11" s="10">
        <v>35</v>
      </c>
      <c r="AC11" s="9">
        <v>2014</v>
      </c>
      <c r="AD11" s="10">
        <v>23</v>
      </c>
      <c r="AE11" s="10">
        <v>22.2</v>
      </c>
      <c r="AF11" s="10">
        <v>22.8</v>
      </c>
      <c r="AG11" s="10">
        <v>23.2</v>
      </c>
      <c r="AH11" s="10">
        <v>23.8</v>
      </c>
      <c r="AI11" s="10">
        <v>23</v>
      </c>
      <c r="AJ11" s="10">
        <v>21.8</v>
      </c>
      <c r="AK11" s="10">
        <v>20.8</v>
      </c>
      <c r="AL11" s="10">
        <v>19.600000000000001</v>
      </c>
      <c r="AM11" s="10">
        <v>21.2</v>
      </c>
      <c r="AN11" s="10">
        <v>23.4</v>
      </c>
      <c r="AO11" s="10">
        <v>23.2</v>
      </c>
    </row>
    <row r="12" spans="1:41" s="11" customFormat="1" ht="30" customHeight="1" x14ac:dyDescent="0.35">
      <c r="A12" s="9">
        <v>2015</v>
      </c>
      <c r="B12" s="10">
        <v>26.6</v>
      </c>
      <c r="C12" s="10">
        <v>26.8</v>
      </c>
      <c r="D12" s="10">
        <v>27.3</v>
      </c>
      <c r="E12" s="10">
        <v>27.5</v>
      </c>
      <c r="F12" s="10">
        <v>27.9</v>
      </c>
      <c r="G12" s="10">
        <v>27.6</v>
      </c>
      <c r="H12" s="10">
        <v>27.3</v>
      </c>
      <c r="I12" s="10">
        <v>27.5</v>
      </c>
      <c r="J12" s="10">
        <v>27.8</v>
      </c>
      <c r="K12" s="10">
        <v>28.2</v>
      </c>
      <c r="L12" s="10">
        <v>28.2</v>
      </c>
      <c r="M12" s="10">
        <v>27.6</v>
      </c>
      <c r="O12" s="9">
        <v>2015</v>
      </c>
      <c r="P12" s="12">
        <v>32.6</v>
      </c>
      <c r="Q12" s="12">
        <v>34</v>
      </c>
      <c r="R12" s="12">
        <v>34.799999999999997</v>
      </c>
      <c r="S12" s="12">
        <v>34.4</v>
      </c>
      <c r="T12" s="12">
        <v>34</v>
      </c>
      <c r="U12" s="12">
        <v>34.200000000000003</v>
      </c>
      <c r="V12" s="12">
        <v>34.200000000000003</v>
      </c>
      <c r="W12" s="12">
        <v>33.799999999999997</v>
      </c>
      <c r="X12" s="12">
        <v>35.4</v>
      </c>
      <c r="Y12" s="12">
        <v>34.799999999999997</v>
      </c>
      <c r="Z12" s="10">
        <v>35</v>
      </c>
      <c r="AA12" s="10">
        <v>35</v>
      </c>
      <c r="AC12" s="9">
        <v>2015</v>
      </c>
      <c r="AD12" s="10">
        <v>22.8</v>
      </c>
      <c r="AE12" s="10">
        <v>20.2</v>
      </c>
      <c r="AF12" s="10">
        <v>22.6</v>
      </c>
      <c r="AG12" s="10">
        <v>23</v>
      </c>
      <c r="AH12" s="10">
        <v>22.2</v>
      </c>
      <c r="AI12" s="10">
        <v>21.4</v>
      </c>
      <c r="AJ12" s="10">
        <v>19</v>
      </c>
      <c r="AK12" s="10">
        <v>20.399999999999999</v>
      </c>
      <c r="AL12" s="10">
        <v>20.399999999999999</v>
      </c>
      <c r="AM12" s="10">
        <v>21.8</v>
      </c>
      <c r="AN12" s="10">
        <v>23.2</v>
      </c>
      <c r="AO12" s="10">
        <v>23</v>
      </c>
    </row>
    <row r="13" spans="1:41" s="11" customFormat="1" ht="30" customHeight="1" x14ac:dyDescent="0.35">
      <c r="A13" s="9">
        <v>2016</v>
      </c>
      <c r="B13" s="10">
        <v>28.059677419354834</v>
      </c>
      <c r="C13" s="10">
        <v>27.472413793103453</v>
      </c>
      <c r="D13" s="10">
        <v>27.887903225806458</v>
      </c>
      <c r="E13" s="10">
        <v>28.102499999999996</v>
      </c>
      <c r="F13" s="10">
        <v>28.053225806451611</v>
      </c>
      <c r="G13" s="10">
        <v>27.26166666666667</v>
      </c>
      <c r="H13" s="10">
        <v>27.15</v>
      </c>
      <c r="I13" s="10">
        <v>27.139516129032259</v>
      </c>
      <c r="J13" s="10">
        <v>27.388333333333332</v>
      </c>
      <c r="K13" s="10">
        <v>27.208870967741927</v>
      </c>
      <c r="L13" s="10">
        <v>27.785833333333333</v>
      </c>
      <c r="M13" s="10">
        <v>27.213709677419356</v>
      </c>
      <c r="N13" s="13"/>
      <c r="O13" s="9">
        <v>2016</v>
      </c>
      <c r="P13" s="10">
        <v>34.6</v>
      </c>
      <c r="Q13" s="10">
        <v>34.4</v>
      </c>
      <c r="R13" s="10">
        <v>34.4</v>
      </c>
      <c r="S13" s="10">
        <v>34.200000000000003</v>
      </c>
      <c r="T13" s="10">
        <v>34.4</v>
      </c>
      <c r="U13" s="10">
        <v>34.200000000000003</v>
      </c>
      <c r="V13" s="10">
        <v>33.6</v>
      </c>
      <c r="W13" s="10">
        <v>34.1</v>
      </c>
      <c r="X13" s="10">
        <v>34.200000000000003</v>
      </c>
      <c r="Y13" s="10">
        <v>34</v>
      </c>
      <c r="Z13" s="10">
        <v>34.200000000000003</v>
      </c>
      <c r="AA13" s="10">
        <v>33.4</v>
      </c>
      <c r="AB13" s="13"/>
      <c r="AC13" s="9">
        <v>2016</v>
      </c>
      <c r="AD13" s="10">
        <v>23.6</v>
      </c>
      <c r="AE13" s="10">
        <v>23.6</v>
      </c>
      <c r="AF13" s="10">
        <v>23.8</v>
      </c>
      <c r="AG13" s="10">
        <v>23.6</v>
      </c>
      <c r="AH13" s="10">
        <v>23.6</v>
      </c>
      <c r="AI13" s="10">
        <v>20.6</v>
      </c>
      <c r="AJ13" s="10">
        <v>22</v>
      </c>
      <c r="AK13" s="10">
        <v>20.399999999999999</v>
      </c>
      <c r="AL13" s="10">
        <v>22.4</v>
      </c>
      <c r="AM13" s="10">
        <v>22.9</v>
      </c>
      <c r="AN13" s="10">
        <v>23.4</v>
      </c>
      <c r="AO13" s="10">
        <v>23</v>
      </c>
    </row>
    <row r="14" spans="1:41" s="11" customFormat="1" ht="30" customHeight="1" x14ac:dyDescent="0.35">
      <c r="A14" s="9">
        <v>2017</v>
      </c>
      <c r="B14" s="10">
        <v>27.206451612903226</v>
      </c>
      <c r="C14" s="10">
        <v>26.908928571428568</v>
      </c>
      <c r="D14" s="10">
        <v>27.290322580645164</v>
      </c>
      <c r="E14" s="10">
        <v>27.431666666666668</v>
      </c>
      <c r="F14" s="10">
        <v>27.752419354838711</v>
      </c>
      <c r="G14" s="10">
        <v>27.41416666666667</v>
      </c>
      <c r="H14" s="10">
        <v>27.296774193548391</v>
      </c>
      <c r="I14" s="10">
        <v>27.484677419354835</v>
      </c>
      <c r="J14" s="10">
        <v>27.669166666666673</v>
      </c>
      <c r="K14" s="10">
        <v>28.076612903225808</v>
      </c>
      <c r="L14" s="10">
        <v>27.806666666666668</v>
      </c>
      <c r="M14" s="10">
        <v>27.491129032258062</v>
      </c>
      <c r="N14" s="13"/>
      <c r="O14" s="9">
        <v>2017</v>
      </c>
      <c r="P14" s="10">
        <v>33.4</v>
      </c>
      <c r="Q14" s="10">
        <v>33.6</v>
      </c>
      <c r="R14" s="10">
        <v>35.4</v>
      </c>
      <c r="S14" s="10">
        <v>35</v>
      </c>
      <c r="T14" s="10">
        <v>34.6</v>
      </c>
      <c r="U14" s="10">
        <v>34</v>
      </c>
      <c r="V14" s="10">
        <v>33.799999999999997</v>
      </c>
      <c r="W14" s="10">
        <v>34</v>
      </c>
      <c r="X14" s="10">
        <v>35.200000000000003</v>
      </c>
      <c r="Y14" s="10">
        <v>34.799999999999997</v>
      </c>
      <c r="Z14" s="10">
        <v>36.200000000000003</v>
      </c>
      <c r="AA14" s="10">
        <v>33.799999999999997</v>
      </c>
      <c r="AB14" s="13"/>
      <c r="AC14" s="9">
        <v>2017</v>
      </c>
      <c r="AD14" s="10">
        <v>22.8</v>
      </c>
      <c r="AE14" s="10">
        <v>23</v>
      </c>
      <c r="AF14" s="10">
        <v>22.8</v>
      </c>
      <c r="AG14" s="10">
        <v>22.8</v>
      </c>
      <c r="AH14" s="10">
        <v>22.8</v>
      </c>
      <c r="AI14" s="10">
        <v>22.8</v>
      </c>
      <c r="AJ14" s="10">
        <v>21.8</v>
      </c>
      <c r="AK14" s="10">
        <v>21.8</v>
      </c>
      <c r="AL14" s="10">
        <v>21.3</v>
      </c>
      <c r="AM14" s="10">
        <v>22.4</v>
      </c>
      <c r="AN14" s="10">
        <v>22.2</v>
      </c>
      <c r="AO14" s="10">
        <v>22.8</v>
      </c>
    </row>
    <row r="15" spans="1:41" s="11" customFormat="1" ht="30" customHeight="1" x14ac:dyDescent="0.35">
      <c r="A15" s="9">
        <v>2018</v>
      </c>
      <c r="B15" s="10">
        <v>27.049193548387095</v>
      </c>
      <c r="C15" s="10">
        <v>27.318749999999998</v>
      </c>
      <c r="D15" s="10">
        <v>27.191129032258068</v>
      </c>
      <c r="E15" s="10">
        <v>27.761666666666667</v>
      </c>
      <c r="F15" s="10">
        <v>28.029032258064511</v>
      </c>
      <c r="G15" s="10">
        <v>27.489166666666666</v>
      </c>
      <c r="H15" s="10">
        <v>26.816129032258065</v>
      </c>
      <c r="I15" s="10">
        <v>27.196774193548375</v>
      </c>
      <c r="J15" s="10">
        <v>27.579999999999991</v>
      </c>
      <c r="K15" s="10">
        <v>28.452419354838714</v>
      </c>
      <c r="L15" s="10">
        <v>26.908064516129031</v>
      </c>
      <c r="M15" s="10">
        <v>27.282258064516128</v>
      </c>
      <c r="N15" s="13"/>
      <c r="O15" s="9">
        <v>2018</v>
      </c>
      <c r="P15" s="10">
        <v>33.6</v>
      </c>
      <c r="Q15" s="10">
        <v>34.200000000000003</v>
      </c>
      <c r="R15" s="10">
        <v>35.6</v>
      </c>
      <c r="S15" s="10">
        <v>34.4</v>
      </c>
      <c r="T15" s="10">
        <v>34.200000000000003</v>
      </c>
      <c r="U15" s="10">
        <v>34.4</v>
      </c>
      <c r="V15" s="10">
        <v>33.6</v>
      </c>
      <c r="W15" s="10">
        <v>34</v>
      </c>
      <c r="X15" s="10">
        <v>35</v>
      </c>
      <c r="Y15" s="10">
        <v>35.6</v>
      </c>
      <c r="Z15" s="10">
        <v>36.4</v>
      </c>
      <c r="AA15" s="10">
        <v>34.799999999999997</v>
      </c>
      <c r="AB15" s="13"/>
      <c r="AC15" s="9">
        <v>2018</v>
      </c>
      <c r="AD15" s="10">
        <v>22.6</v>
      </c>
      <c r="AE15" s="10">
        <v>23</v>
      </c>
      <c r="AF15" s="10">
        <v>22.4</v>
      </c>
      <c r="AG15" s="10">
        <v>22.2</v>
      </c>
      <c r="AH15" s="10">
        <v>23</v>
      </c>
      <c r="AI15" s="10">
        <v>22</v>
      </c>
      <c r="AJ15" s="10">
        <v>19.600000000000001</v>
      </c>
      <c r="AK15" s="10">
        <v>19.600000000000001</v>
      </c>
      <c r="AL15" s="10">
        <v>21.2</v>
      </c>
      <c r="AM15" s="10">
        <v>22.4</v>
      </c>
      <c r="AN15" s="10">
        <v>23</v>
      </c>
      <c r="AO15" s="10">
        <v>22.2</v>
      </c>
    </row>
    <row r="16" spans="1:41" s="11" customFormat="1" ht="30" customHeight="1" x14ac:dyDescent="0.35">
      <c r="A16" s="9">
        <v>2019</v>
      </c>
      <c r="B16" s="10">
        <v>27.684677419354845</v>
      </c>
      <c r="C16" s="10">
        <v>27.73928571428571</v>
      </c>
      <c r="D16" s="10">
        <v>27.235483870967744</v>
      </c>
      <c r="E16" s="10">
        <v>27.773333333333333</v>
      </c>
      <c r="F16" s="10">
        <v>28.18951612903226</v>
      </c>
      <c r="G16" s="10">
        <v>27.616666666666667</v>
      </c>
      <c r="H16" s="10">
        <v>27.195161290322588</v>
      </c>
      <c r="I16" s="10">
        <v>27.032258064516128</v>
      </c>
      <c r="J16" s="10">
        <v>27.600000000000005</v>
      </c>
      <c r="K16" s="10">
        <v>28.674999999999997</v>
      </c>
      <c r="L16" s="10">
        <v>28.83</v>
      </c>
      <c r="M16" s="10">
        <v>27.955645161290327</v>
      </c>
      <c r="N16" s="13"/>
      <c r="O16" s="9">
        <v>2019</v>
      </c>
      <c r="P16" s="10">
        <v>34.200000000000003</v>
      </c>
      <c r="Q16" s="10">
        <v>34.200000000000003</v>
      </c>
      <c r="R16" s="10">
        <v>34.799999999999997</v>
      </c>
      <c r="S16" s="10">
        <v>34.4</v>
      </c>
      <c r="T16" s="10">
        <v>34.200000000000003</v>
      </c>
      <c r="U16" s="10">
        <v>34</v>
      </c>
      <c r="V16" s="10">
        <v>34</v>
      </c>
      <c r="W16" s="10">
        <v>34.6</v>
      </c>
      <c r="X16" s="10">
        <v>34.799999999999997</v>
      </c>
      <c r="Y16" s="10">
        <v>37.4</v>
      </c>
      <c r="Z16" s="10">
        <v>37.200000000000003</v>
      </c>
      <c r="AA16" s="10">
        <v>35.4</v>
      </c>
      <c r="AB16" s="13"/>
      <c r="AC16" s="9">
        <v>2019</v>
      </c>
      <c r="AD16" s="10">
        <v>22.4</v>
      </c>
      <c r="AE16" s="10">
        <v>23.6</v>
      </c>
      <c r="AF16" s="10">
        <v>22.2</v>
      </c>
      <c r="AG16" s="10">
        <v>23.6</v>
      </c>
      <c r="AH16" s="10">
        <v>23.6</v>
      </c>
      <c r="AI16" s="10">
        <v>20.6</v>
      </c>
      <c r="AJ16" s="10">
        <v>21</v>
      </c>
      <c r="AK16" s="10">
        <v>20</v>
      </c>
      <c r="AL16" s="10">
        <v>20</v>
      </c>
      <c r="AM16" s="10">
        <v>22.4</v>
      </c>
      <c r="AN16" s="10">
        <v>21.4</v>
      </c>
      <c r="AO16" s="10">
        <v>23.4</v>
      </c>
    </row>
    <row r="17" spans="1:42" s="11" customFormat="1" ht="33" customHeight="1" x14ac:dyDescent="0.35">
      <c r="A17" s="14">
        <v>2020</v>
      </c>
      <c r="B17" s="15">
        <v>27.566935483870967</v>
      </c>
      <c r="C17" s="15">
        <v>27.558620689655172</v>
      </c>
      <c r="D17" s="15">
        <v>27.515322580645165</v>
      </c>
      <c r="E17" s="15">
        <v>27.747500000000002</v>
      </c>
      <c r="F17" s="16">
        <v>28.113709677419358</v>
      </c>
      <c r="G17" s="15">
        <v>27.798333333333332</v>
      </c>
      <c r="H17" s="15">
        <v>27.512096774193548</v>
      </c>
      <c r="I17" s="15">
        <v>27.534677419354836</v>
      </c>
      <c r="J17" s="15">
        <v>27.751666666666669</v>
      </c>
      <c r="K17" s="15">
        <v>27.754838709677422</v>
      </c>
      <c r="L17" s="15">
        <v>27.751666666666669</v>
      </c>
      <c r="M17" s="15">
        <v>27.132258064516137</v>
      </c>
      <c r="N17" s="13"/>
      <c r="O17" s="14">
        <v>2020</v>
      </c>
      <c r="P17" s="15">
        <v>33.799999999999997</v>
      </c>
      <c r="Q17" s="15">
        <v>33.799999999999997</v>
      </c>
      <c r="R17" s="15">
        <v>35</v>
      </c>
      <c r="S17" s="15">
        <v>34.799999999999997</v>
      </c>
      <c r="T17" s="16">
        <v>33.799999999999997</v>
      </c>
      <c r="U17" s="15">
        <v>34.200000000000003</v>
      </c>
      <c r="V17" s="15">
        <v>33.799999999999997</v>
      </c>
      <c r="W17" s="15">
        <v>34.6</v>
      </c>
      <c r="X17" s="15">
        <v>35</v>
      </c>
      <c r="Y17" s="17">
        <v>34.799999999999997</v>
      </c>
      <c r="Z17" s="15">
        <v>34.799999999999997</v>
      </c>
      <c r="AA17" s="15">
        <v>34.200000000000003</v>
      </c>
      <c r="AB17" s="13"/>
      <c r="AC17" s="14">
        <v>2020</v>
      </c>
      <c r="AD17" s="15">
        <v>22.7</v>
      </c>
      <c r="AE17" s="15">
        <v>23</v>
      </c>
      <c r="AF17" s="15">
        <v>22.4</v>
      </c>
      <c r="AG17" s="15">
        <v>23.2</v>
      </c>
      <c r="AH17" s="16">
        <v>23</v>
      </c>
      <c r="AI17" s="15">
        <v>23.3</v>
      </c>
      <c r="AJ17" s="15">
        <v>21</v>
      </c>
      <c r="AK17" s="15">
        <v>20.8</v>
      </c>
      <c r="AL17" s="15">
        <v>22.4</v>
      </c>
      <c r="AM17" s="15">
        <v>22.2</v>
      </c>
      <c r="AN17" s="15">
        <v>22.6</v>
      </c>
      <c r="AO17" s="15">
        <v>22.4</v>
      </c>
      <c r="AP17" s="11">
        <f>AVERAGE(AD17:AO17)</f>
        <v>22.416666666666668</v>
      </c>
    </row>
    <row r="18" spans="1:42" s="11" customFormat="1" ht="33" customHeight="1" x14ac:dyDescent="0.35">
      <c r="A18" s="14">
        <v>2021</v>
      </c>
      <c r="B18" s="15">
        <v>26.866935483870968</v>
      </c>
      <c r="C18" s="15">
        <v>26.883035714285711</v>
      </c>
      <c r="D18" s="15">
        <v>27.401612903225804</v>
      </c>
      <c r="E18" s="15">
        <v>27.417500000000004</v>
      </c>
      <c r="F18" s="16">
        <v>28.286290322580637</v>
      </c>
      <c r="G18" s="15">
        <v>26.143548387096772</v>
      </c>
      <c r="H18" s="15">
        <v>27.15241935483871</v>
      </c>
      <c r="I18" s="15">
        <v>27.345161290322586</v>
      </c>
      <c r="J18" s="15">
        <v>26.829838709677425</v>
      </c>
      <c r="K18" s="15">
        <v>28.029838709677424</v>
      </c>
      <c r="L18" s="15">
        <v>27.366666666666671</v>
      </c>
      <c r="M18" s="15">
        <v>27.500806451612902</v>
      </c>
      <c r="N18" s="13"/>
      <c r="O18" s="14">
        <v>2021</v>
      </c>
      <c r="P18" s="15">
        <v>33.200000000000003</v>
      </c>
      <c r="Q18" s="15">
        <v>33</v>
      </c>
      <c r="R18" s="15">
        <v>35.1</v>
      </c>
      <c r="S18" s="15">
        <v>34.4</v>
      </c>
      <c r="T18" s="16">
        <v>33</v>
      </c>
      <c r="U18" s="15">
        <v>34</v>
      </c>
      <c r="V18" s="15">
        <v>34</v>
      </c>
      <c r="W18" s="15">
        <v>34.4</v>
      </c>
      <c r="X18" s="15">
        <v>34.4</v>
      </c>
      <c r="Y18" s="15">
        <v>35.6</v>
      </c>
      <c r="Z18" s="15">
        <v>34.5</v>
      </c>
      <c r="AA18" s="15">
        <v>34.4</v>
      </c>
      <c r="AB18" s="13"/>
      <c r="AC18" s="14">
        <v>2021</v>
      </c>
      <c r="AD18" s="15">
        <v>22.9</v>
      </c>
      <c r="AE18" s="15">
        <v>23</v>
      </c>
      <c r="AF18" s="15">
        <v>22.6</v>
      </c>
      <c r="AG18" s="15">
        <v>23</v>
      </c>
      <c r="AH18" s="16">
        <v>23</v>
      </c>
      <c r="AI18" s="15">
        <v>22.2</v>
      </c>
      <c r="AJ18" s="15">
        <v>21</v>
      </c>
      <c r="AK18" s="15">
        <v>22.7</v>
      </c>
      <c r="AL18" s="15">
        <v>22.4</v>
      </c>
      <c r="AM18" s="15">
        <v>21</v>
      </c>
      <c r="AN18" s="15">
        <v>22.9</v>
      </c>
      <c r="AO18" s="15">
        <v>22.3</v>
      </c>
      <c r="AP18" s="11">
        <f t="shared" ref="AP18:AP22" si="0">AVERAGE(AD18:AO18)</f>
        <v>22.416666666666668</v>
      </c>
    </row>
    <row r="19" spans="1:42" s="11" customFormat="1" ht="33.75" customHeight="1" x14ac:dyDescent="0.35">
      <c r="A19" s="14">
        <v>2022</v>
      </c>
      <c r="B19" s="15">
        <v>27.517741935483873</v>
      </c>
      <c r="C19" s="15">
        <v>27.078571428571433</v>
      </c>
      <c r="D19" s="15">
        <v>27.526612903225804</v>
      </c>
      <c r="E19" s="15">
        <v>27.879166666666663</v>
      </c>
      <c r="F19" s="16">
        <v>27.705645161290324</v>
      </c>
      <c r="G19" s="15">
        <v>26.7</v>
      </c>
      <c r="H19" s="15">
        <v>27.451612903225811</v>
      </c>
      <c r="I19" s="15">
        <v>27.407258064516125</v>
      </c>
      <c r="J19" s="15">
        <v>27.464166666666664</v>
      </c>
      <c r="K19" s="15">
        <v>27.514516129032256</v>
      </c>
      <c r="L19" s="15">
        <v>27.6</v>
      </c>
      <c r="M19" s="15">
        <v>27.3</v>
      </c>
      <c r="N19" s="13"/>
      <c r="O19" s="14">
        <v>2022</v>
      </c>
      <c r="P19" s="15">
        <v>35</v>
      </c>
      <c r="Q19" s="15">
        <v>35.6</v>
      </c>
      <c r="R19" s="15">
        <v>34.4</v>
      </c>
      <c r="S19" s="15">
        <v>35.4</v>
      </c>
      <c r="T19" s="16">
        <v>35.6</v>
      </c>
      <c r="U19" s="15">
        <v>33.700000000000003</v>
      </c>
      <c r="V19" s="15">
        <v>33.799999999999997</v>
      </c>
      <c r="W19" s="15">
        <v>33.799999999999997</v>
      </c>
      <c r="X19" s="15">
        <v>35</v>
      </c>
      <c r="Y19" s="15">
        <v>34.799999999999997</v>
      </c>
      <c r="Z19" s="15">
        <v>35.1</v>
      </c>
      <c r="AA19" s="15">
        <v>35.200000000000003</v>
      </c>
      <c r="AB19" s="13"/>
      <c r="AC19" s="14">
        <v>2022</v>
      </c>
      <c r="AD19" s="15">
        <v>21.8</v>
      </c>
      <c r="AE19" s="15">
        <v>21.4</v>
      </c>
      <c r="AF19" s="15">
        <v>22.8</v>
      </c>
      <c r="AG19" s="15">
        <v>22.9</v>
      </c>
      <c r="AH19" s="16">
        <v>22.4</v>
      </c>
      <c r="AI19" s="15">
        <v>20.6</v>
      </c>
      <c r="AJ19" s="15">
        <v>20.399999999999999</v>
      </c>
      <c r="AK19" s="15">
        <v>22.6</v>
      </c>
      <c r="AL19" s="15">
        <v>22.4</v>
      </c>
      <c r="AM19" s="15">
        <v>22.8</v>
      </c>
      <c r="AN19" s="15">
        <v>23.2</v>
      </c>
      <c r="AO19" s="15">
        <v>22.4</v>
      </c>
      <c r="AP19" s="11">
        <f t="shared" si="0"/>
        <v>22.141666666666666</v>
      </c>
    </row>
    <row r="20" spans="1:42" s="11" customFormat="1" ht="34.5" customHeight="1" x14ac:dyDescent="0.35">
      <c r="A20" s="14">
        <v>2023</v>
      </c>
      <c r="B20" s="15">
        <v>27.267741935483869</v>
      </c>
      <c r="C20" s="15">
        <v>27.185714285714283</v>
      </c>
      <c r="D20" s="15">
        <v>27.529838709677414</v>
      </c>
      <c r="E20" s="15">
        <v>27.96916666666667</v>
      </c>
      <c r="F20" s="16">
        <v>28.493548387096773</v>
      </c>
      <c r="G20" s="15">
        <v>27.647499999999994</v>
      </c>
      <c r="H20" s="15">
        <v>27.188709677419364</v>
      </c>
      <c r="I20" s="15">
        <v>27.54032258064516</v>
      </c>
      <c r="J20" s="15">
        <v>28.112500000000001</v>
      </c>
      <c r="K20" s="15">
        <v>29.274999999999999</v>
      </c>
      <c r="L20" s="15">
        <v>28.696666666666665</v>
      </c>
      <c r="M20" s="15">
        <v>28.70645161290323</v>
      </c>
      <c r="N20" s="13"/>
      <c r="O20" s="14">
        <v>2023</v>
      </c>
      <c r="P20" s="15">
        <v>34.6</v>
      </c>
      <c r="Q20" s="15">
        <v>33.799999999999997</v>
      </c>
      <c r="R20" s="15">
        <v>34.299999999999997</v>
      </c>
      <c r="S20" s="15">
        <v>35</v>
      </c>
      <c r="T20" s="16">
        <v>33.799999999999997</v>
      </c>
      <c r="U20" s="15">
        <v>34.4</v>
      </c>
      <c r="V20" s="15">
        <v>33.799999999999997</v>
      </c>
      <c r="W20" s="15">
        <v>34.6</v>
      </c>
      <c r="X20" s="15">
        <v>36.5</v>
      </c>
      <c r="Y20" s="15">
        <v>37.4</v>
      </c>
      <c r="Z20" s="15">
        <v>36.200000000000003</v>
      </c>
      <c r="AA20" s="15">
        <v>36.5</v>
      </c>
      <c r="AB20" s="13"/>
      <c r="AC20" s="14">
        <v>2023</v>
      </c>
      <c r="AD20" s="15">
        <v>22.8</v>
      </c>
      <c r="AE20" s="15">
        <v>23</v>
      </c>
      <c r="AF20" s="15">
        <v>22.4</v>
      </c>
      <c r="AG20" s="15">
        <v>23</v>
      </c>
      <c r="AH20" s="16">
        <v>23.5</v>
      </c>
      <c r="AI20" s="15">
        <v>22.4</v>
      </c>
      <c r="AJ20" s="15">
        <v>22.4</v>
      </c>
      <c r="AK20" s="15">
        <v>21.9</v>
      </c>
      <c r="AL20" s="15">
        <v>21.8</v>
      </c>
      <c r="AM20" s="15">
        <v>23</v>
      </c>
      <c r="AN20" s="15">
        <v>23</v>
      </c>
      <c r="AO20" s="15">
        <v>20.6</v>
      </c>
      <c r="AP20" s="11">
        <f t="shared" si="0"/>
        <v>22.483333333333334</v>
      </c>
    </row>
    <row r="21" spans="1:42" s="11" customFormat="1" ht="34.5" customHeight="1" x14ac:dyDescent="0.35">
      <c r="A21" s="9">
        <v>2024</v>
      </c>
      <c r="B21" s="18">
        <v>27.400000000000002</v>
      </c>
      <c r="C21" s="18">
        <v>28.094827586206897</v>
      </c>
      <c r="D21" s="18">
        <v>27.973387096774189</v>
      </c>
      <c r="E21" s="18">
        <v>28.608333333333334</v>
      </c>
      <c r="F21" s="19">
        <v>28.42580645161291</v>
      </c>
      <c r="G21" s="18">
        <v>28.045833333333334</v>
      </c>
      <c r="H21" s="18">
        <v>27.333870967741927</v>
      </c>
      <c r="I21" s="18">
        <v>27.974999999999998</v>
      </c>
      <c r="J21" s="18">
        <v>28.066666666666666</v>
      </c>
      <c r="K21" s="18">
        <v>28.909677419354839</v>
      </c>
      <c r="L21" s="18">
        <v>28.220833333333335</v>
      </c>
      <c r="M21" s="18">
        <v>27.761290322580646</v>
      </c>
      <c r="N21" s="13"/>
      <c r="O21" s="9">
        <v>2024</v>
      </c>
      <c r="P21" s="20">
        <v>34.299999999999997</v>
      </c>
      <c r="Q21" s="20">
        <v>35.299999999999997</v>
      </c>
      <c r="R21" s="20">
        <v>34.6</v>
      </c>
      <c r="S21" s="20">
        <v>36.1</v>
      </c>
      <c r="T21" s="21">
        <v>35.299999999999997</v>
      </c>
      <c r="U21" s="20">
        <v>34.5</v>
      </c>
      <c r="V21" s="20">
        <v>34.200000000000003</v>
      </c>
      <c r="W21" s="20">
        <v>35</v>
      </c>
      <c r="X21" s="20">
        <v>35.5</v>
      </c>
      <c r="Y21" s="20">
        <v>36.9</v>
      </c>
      <c r="Z21" s="20">
        <v>35.700000000000003</v>
      </c>
      <c r="AA21" s="20">
        <v>34</v>
      </c>
      <c r="AB21" s="13"/>
      <c r="AC21" s="9">
        <v>2024</v>
      </c>
      <c r="AD21" s="20">
        <v>23.1</v>
      </c>
      <c r="AE21" s="20">
        <v>23.6</v>
      </c>
      <c r="AF21" s="20">
        <v>24.1</v>
      </c>
      <c r="AG21" s="20">
        <v>23.8</v>
      </c>
      <c r="AH21" s="21">
        <v>23</v>
      </c>
      <c r="AI21" s="20">
        <v>23.2</v>
      </c>
      <c r="AJ21" s="20">
        <v>21</v>
      </c>
      <c r="AK21" s="20">
        <v>22.1</v>
      </c>
      <c r="AL21" s="20">
        <v>21.7</v>
      </c>
      <c r="AM21" s="20">
        <v>21.3</v>
      </c>
      <c r="AN21" s="20">
        <v>23.7</v>
      </c>
      <c r="AO21" s="20">
        <v>23.9</v>
      </c>
      <c r="AP21" s="11">
        <f t="shared" si="0"/>
        <v>22.875</v>
      </c>
    </row>
    <row r="22" spans="1:42" s="11" customFormat="1" ht="33" customHeight="1" thickBot="1" x14ac:dyDescent="0.4">
      <c r="A22" s="22">
        <v>2025</v>
      </c>
      <c r="B22" s="23">
        <v>25.261290322580646</v>
      </c>
      <c r="C22" s="23">
        <v>27.432142857142857</v>
      </c>
      <c r="D22" s="23">
        <v>27.620967741935484</v>
      </c>
      <c r="E22" s="23">
        <v>27.815833333333334</v>
      </c>
      <c r="F22" s="24">
        <v>28.341129032258067</v>
      </c>
      <c r="G22" s="23">
        <v>27.672499999999999</v>
      </c>
      <c r="H22" s="23">
        <v>27.539516129032258</v>
      </c>
      <c r="I22" s="23">
        <v>27.349999999999991</v>
      </c>
      <c r="J22" s="23">
        <v>28.020833333333329</v>
      </c>
      <c r="K22" s="23">
        <v>28.274999999999999</v>
      </c>
      <c r="L22" s="23">
        <v>27.990833333333335</v>
      </c>
      <c r="M22" s="23">
        <v>27.556451612903221</v>
      </c>
      <c r="N22" s="13"/>
      <c r="O22" s="22">
        <v>2025</v>
      </c>
      <c r="P22" s="20">
        <v>33.799999999999997</v>
      </c>
      <c r="Q22" s="20">
        <v>35.1</v>
      </c>
      <c r="R22" s="20">
        <v>34.700000000000003</v>
      </c>
      <c r="S22" s="20">
        <v>34.4</v>
      </c>
      <c r="T22" s="21">
        <v>35.1</v>
      </c>
      <c r="U22" s="20">
        <v>35.200000000000003</v>
      </c>
      <c r="V22" s="20">
        <v>34.1</v>
      </c>
      <c r="W22" s="20">
        <v>34.5</v>
      </c>
      <c r="X22" s="20">
        <v>35.5</v>
      </c>
      <c r="Y22" s="20">
        <v>35.4</v>
      </c>
      <c r="Z22" s="20">
        <v>35</v>
      </c>
      <c r="AA22" s="20">
        <v>34.1</v>
      </c>
      <c r="AB22" s="13"/>
      <c r="AC22" s="22">
        <v>2025</v>
      </c>
      <c r="AD22" s="20">
        <v>23.6</v>
      </c>
      <c r="AE22" s="20">
        <v>23</v>
      </c>
      <c r="AF22" s="20">
        <v>20.5</v>
      </c>
      <c r="AG22" s="20">
        <v>23.8</v>
      </c>
      <c r="AH22" s="21">
        <v>24.3</v>
      </c>
      <c r="AI22" s="20">
        <v>22.2</v>
      </c>
      <c r="AJ22" s="20">
        <v>21.9</v>
      </c>
      <c r="AK22" s="20">
        <v>22.6</v>
      </c>
      <c r="AL22" s="20">
        <v>22.9</v>
      </c>
      <c r="AM22" s="20">
        <v>22.2</v>
      </c>
      <c r="AN22" s="20">
        <v>23.5</v>
      </c>
      <c r="AO22" s="20">
        <v>22.9</v>
      </c>
      <c r="AP22" s="11">
        <f t="shared" si="0"/>
        <v>22.783333333333331</v>
      </c>
    </row>
    <row r="23" spans="1:42" s="11" customFormat="1" ht="27" customHeight="1" thickTop="1" x14ac:dyDescent="0.35">
      <c r="A23" s="25" t="s">
        <v>23</v>
      </c>
      <c r="B23" s="25">
        <f>AVERAGE(B11:B22)</f>
        <v>27.050880376344086</v>
      </c>
      <c r="C23" s="25">
        <f t="shared" ref="C23:M23" si="1">AVERAGE(C11:C22)</f>
        <v>27.249236025588392</v>
      </c>
      <c r="D23" s="25">
        <f t="shared" si="1"/>
        <v>27.46269041218638</v>
      </c>
      <c r="E23" s="25">
        <f t="shared" si="1"/>
        <v>27.836956018518521</v>
      </c>
      <c r="F23" s="25">
        <f t="shared" si="1"/>
        <v>28.11700268817204</v>
      </c>
      <c r="G23" s="25">
        <f t="shared" si="1"/>
        <v>27.409578106332138</v>
      </c>
      <c r="H23" s="25">
        <f t="shared" si="1"/>
        <v>27.254681899641579</v>
      </c>
      <c r="I23" s="25">
        <f t="shared" si="1"/>
        <v>27.408254928315412</v>
      </c>
      <c r="J23" s="25">
        <f t="shared" si="1"/>
        <v>27.640542114695339</v>
      </c>
      <c r="K23" s="25">
        <f t="shared" si="1"/>
        <v>28.230286738351253</v>
      </c>
      <c r="L23" s="25">
        <f t="shared" si="1"/>
        <v>27.903010005973723</v>
      </c>
      <c r="M23" s="25">
        <f t="shared" si="1"/>
        <v>27.575134408602153</v>
      </c>
      <c r="O23" s="25" t="s">
        <v>24</v>
      </c>
      <c r="P23" s="26">
        <f>MAX(P11:P22)</f>
        <v>35</v>
      </c>
      <c r="Q23" s="26">
        <f t="shared" ref="Q23:AA23" si="2">MAX(Q11:Q22)</f>
        <v>35.6</v>
      </c>
      <c r="R23" s="26">
        <f t="shared" si="2"/>
        <v>35.6</v>
      </c>
      <c r="S23" s="26">
        <f t="shared" si="2"/>
        <v>36.1</v>
      </c>
      <c r="T23" s="26">
        <f t="shared" si="2"/>
        <v>35.6</v>
      </c>
      <c r="U23" s="26">
        <f t="shared" si="2"/>
        <v>35.200000000000003</v>
      </c>
      <c r="V23" s="26">
        <f t="shared" si="2"/>
        <v>34.200000000000003</v>
      </c>
      <c r="W23" s="26">
        <f t="shared" si="2"/>
        <v>35</v>
      </c>
      <c r="X23" s="26">
        <f t="shared" si="2"/>
        <v>36.5</v>
      </c>
      <c r="Y23" s="26">
        <f t="shared" si="2"/>
        <v>37.4</v>
      </c>
      <c r="Z23" s="26">
        <f t="shared" si="2"/>
        <v>37.200000000000003</v>
      </c>
      <c r="AA23" s="26">
        <f t="shared" si="2"/>
        <v>36.5</v>
      </c>
      <c r="AC23" s="25" t="s">
        <v>25</v>
      </c>
      <c r="AD23" s="26">
        <f>MIN(AD11:AD22)</f>
        <v>21.8</v>
      </c>
      <c r="AE23" s="26">
        <f t="shared" ref="AE23:AO23" si="3">MIN(AE11:AE22)</f>
        <v>20.2</v>
      </c>
      <c r="AF23" s="26">
        <f t="shared" si="3"/>
        <v>20.5</v>
      </c>
      <c r="AG23" s="26">
        <f t="shared" si="3"/>
        <v>22.2</v>
      </c>
      <c r="AH23" s="26">
        <f t="shared" si="3"/>
        <v>22.2</v>
      </c>
      <c r="AI23" s="26">
        <f t="shared" si="3"/>
        <v>20.6</v>
      </c>
      <c r="AJ23" s="26">
        <f t="shared" si="3"/>
        <v>19</v>
      </c>
      <c r="AK23" s="26">
        <f t="shared" si="3"/>
        <v>19.600000000000001</v>
      </c>
      <c r="AL23" s="26">
        <f t="shared" si="3"/>
        <v>19.600000000000001</v>
      </c>
      <c r="AM23" s="26">
        <f t="shared" si="3"/>
        <v>21</v>
      </c>
      <c r="AN23" s="26">
        <f t="shared" si="3"/>
        <v>21.4</v>
      </c>
      <c r="AO23" s="26">
        <f t="shared" si="3"/>
        <v>20.6</v>
      </c>
    </row>
    <row r="24" spans="1:42" s="11" customFormat="1" ht="24.75" customHeight="1" x14ac:dyDescent="0.35">
      <c r="A24" s="27" t="s">
        <v>24</v>
      </c>
      <c r="B24" s="27">
        <f>MAX(B11:B22)</f>
        <v>28.059677419354834</v>
      </c>
      <c r="C24" s="27">
        <f t="shared" ref="C24:M24" si="4">MAX(C11:C22)</f>
        <v>28.094827586206897</v>
      </c>
      <c r="D24" s="27">
        <f t="shared" si="4"/>
        <v>27.973387096774189</v>
      </c>
      <c r="E24" s="27">
        <f t="shared" si="4"/>
        <v>28.608333333333334</v>
      </c>
      <c r="F24" s="27">
        <f t="shared" si="4"/>
        <v>28.493548387096773</v>
      </c>
      <c r="G24" s="27">
        <f t="shared" si="4"/>
        <v>28.045833333333334</v>
      </c>
      <c r="H24" s="27">
        <f t="shared" si="4"/>
        <v>27.539516129032258</v>
      </c>
      <c r="I24" s="27">
        <f t="shared" si="4"/>
        <v>27.974999999999998</v>
      </c>
      <c r="J24" s="27">
        <f t="shared" si="4"/>
        <v>28.112500000000001</v>
      </c>
      <c r="K24" s="27">
        <f t="shared" si="4"/>
        <v>29.274999999999999</v>
      </c>
      <c r="L24" s="27">
        <f t="shared" si="4"/>
        <v>28.83</v>
      </c>
      <c r="M24" s="27">
        <f t="shared" si="4"/>
        <v>28.70645161290323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</row>
    <row r="25" spans="1:42" s="11" customFormat="1" ht="25" customHeight="1" x14ac:dyDescent="0.35">
      <c r="A25" s="27" t="s">
        <v>25</v>
      </c>
      <c r="B25" s="27">
        <f>MIN(B11:B22)</f>
        <v>25.261290322580646</v>
      </c>
      <c r="C25" s="27">
        <f t="shared" ref="C25:M25" si="5">MIN(C11:C22)</f>
        <v>26.518541666666664</v>
      </c>
      <c r="D25" s="27">
        <f t="shared" si="5"/>
        <v>27.079704301075264</v>
      </c>
      <c r="E25" s="27">
        <f t="shared" si="5"/>
        <v>27.417500000000004</v>
      </c>
      <c r="F25" s="27">
        <f t="shared" si="5"/>
        <v>27.705645161290324</v>
      </c>
      <c r="G25" s="27">
        <f t="shared" si="5"/>
        <v>26.143548387096772</v>
      </c>
      <c r="H25" s="27">
        <f t="shared" si="5"/>
        <v>26.816129032258065</v>
      </c>
      <c r="I25" s="27">
        <f t="shared" si="5"/>
        <v>27.032258064516128</v>
      </c>
      <c r="J25" s="27">
        <f t="shared" si="5"/>
        <v>26.829838709677425</v>
      </c>
      <c r="K25" s="27">
        <f t="shared" si="5"/>
        <v>27.208870967741927</v>
      </c>
      <c r="L25" s="27">
        <f t="shared" si="5"/>
        <v>26.908064516129031</v>
      </c>
      <c r="M25" s="27">
        <f t="shared" si="5"/>
        <v>27.132258064516137</v>
      </c>
      <c r="O25" s="29"/>
    </row>
    <row r="27" spans="1:42" ht="12.75" customHeight="1" x14ac:dyDescent="0.25">
      <c r="P27" s="77" t="s">
        <v>11</v>
      </c>
      <c r="Q27" s="69" t="s">
        <v>12</v>
      </c>
      <c r="R27" s="69" t="s">
        <v>13</v>
      </c>
      <c r="S27" s="69" t="s">
        <v>14</v>
      </c>
      <c r="T27" s="69" t="s">
        <v>15</v>
      </c>
      <c r="U27" s="69" t="s">
        <v>16</v>
      </c>
      <c r="V27" s="69" t="s">
        <v>17</v>
      </c>
      <c r="W27" s="69" t="s">
        <v>18</v>
      </c>
      <c r="X27" s="69" t="s">
        <v>19</v>
      </c>
      <c r="Y27" s="69" t="s">
        <v>20</v>
      </c>
      <c r="Z27" s="69" t="s">
        <v>21</v>
      </c>
      <c r="AA27" s="69" t="s">
        <v>22</v>
      </c>
    </row>
    <row r="28" spans="1:42" ht="12.75" customHeight="1" x14ac:dyDescent="0.25">
      <c r="P28" s="78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1:42" ht="12.75" customHeight="1" x14ac:dyDescent="0.25">
      <c r="P29" s="30">
        <f t="shared" ref="P29:AA29" si="6">B23</f>
        <v>27.050880376344086</v>
      </c>
      <c r="Q29" s="30">
        <f t="shared" si="6"/>
        <v>27.249236025588392</v>
      </c>
      <c r="R29" s="30">
        <f t="shared" si="6"/>
        <v>27.46269041218638</v>
      </c>
      <c r="S29" s="30">
        <f t="shared" si="6"/>
        <v>27.836956018518521</v>
      </c>
      <c r="T29" s="30">
        <f t="shared" si="6"/>
        <v>28.11700268817204</v>
      </c>
      <c r="U29" s="30">
        <f t="shared" si="6"/>
        <v>27.409578106332138</v>
      </c>
      <c r="V29" s="30">
        <f t="shared" si="6"/>
        <v>27.254681899641579</v>
      </c>
      <c r="W29" s="30">
        <f t="shared" si="6"/>
        <v>27.408254928315412</v>
      </c>
      <c r="X29" s="30">
        <f t="shared" si="6"/>
        <v>27.640542114695339</v>
      </c>
      <c r="Y29" s="30">
        <f t="shared" si="6"/>
        <v>28.230286738351253</v>
      </c>
      <c r="Z29" s="30">
        <f t="shared" si="6"/>
        <v>27.903010005973723</v>
      </c>
      <c r="AA29" s="30">
        <f t="shared" si="6"/>
        <v>27.575134408602153</v>
      </c>
      <c r="AC29" s="30">
        <f>AVERAGE(P29:AA29)</f>
        <v>27.594854476893417</v>
      </c>
    </row>
    <row r="30" spans="1:42" ht="12.75" customHeight="1" x14ac:dyDescent="0.25">
      <c r="P30" s="31">
        <f t="shared" ref="P30:AA30" si="7">P23</f>
        <v>35</v>
      </c>
      <c r="Q30" s="30">
        <f t="shared" si="7"/>
        <v>35.6</v>
      </c>
      <c r="R30" s="30">
        <f t="shared" si="7"/>
        <v>35.6</v>
      </c>
      <c r="S30" s="30">
        <f t="shared" si="7"/>
        <v>36.1</v>
      </c>
      <c r="T30" s="30">
        <f t="shared" si="7"/>
        <v>35.6</v>
      </c>
      <c r="U30" s="30">
        <f t="shared" si="7"/>
        <v>35.200000000000003</v>
      </c>
      <c r="V30" s="30">
        <f t="shared" si="7"/>
        <v>34.200000000000003</v>
      </c>
      <c r="W30" s="30">
        <f t="shared" si="7"/>
        <v>35</v>
      </c>
      <c r="X30" s="30">
        <f t="shared" si="7"/>
        <v>36.5</v>
      </c>
      <c r="Y30" s="32">
        <f t="shared" si="7"/>
        <v>37.4</v>
      </c>
      <c r="Z30" s="30">
        <f t="shared" si="7"/>
        <v>37.200000000000003</v>
      </c>
      <c r="AA30" s="30">
        <f t="shared" si="7"/>
        <v>36.5</v>
      </c>
      <c r="AC30" s="30">
        <f>MAX(P30:AA30)</f>
        <v>37.4</v>
      </c>
      <c r="AD30" s="33">
        <v>43739</v>
      </c>
    </row>
    <row r="31" spans="1:42" x14ac:dyDescent="0.25">
      <c r="I31" s="34"/>
      <c r="J31" s="34"/>
      <c r="P31" s="31">
        <f t="shared" ref="P31:AA31" si="8">AD23</f>
        <v>21.8</v>
      </c>
      <c r="Q31" s="30">
        <f t="shared" si="8"/>
        <v>20.2</v>
      </c>
      <c r="R31" s="30">
        <f t="shared" si="8"/>
        <v>20.5</v>
      </c>
      <c r="S31" s="30">
        <f t="shared" si="8"/>
        <v>22.2</v>
      </c>
      <c r="T31" s="30">
        <f t="shared" si="8"/>
        <v>22.2</v>
      </c>
      <c r="U31" s="30">
        <f t="shared" si="8"/>
        <v>20.6</v>
      </c>
      <c r="V31" s="30">
        <f t="shared" si="8"/>
        <v>19</v>
      </c>
      <c r="W31" s="30">
        <f t="shared" si="8"/>
        <v>19.600000000000001</v>
      </c>
      <c r="X31" s="30">
        <f t="shared" si="8"/>
        <v>19.600000000000001</v>
      </c>
      <c r="Y31" s="30">
        <f t="shared" si="8"/>
        <v>21</v>
      </c>
      <c r="Z31" s="30">
        <f t="shared" si="8"/>
        <v>21.4</v>
      </c>
      <c r="AA31" s="30">
        <f t="shared" si="8"/>
        <v>20.6</v>
      </c>
      <c r="AC31" s="30">
        <f>MIN(P31:AA31)</f>
        <v>19</v>
      </c>
      <c r="AD31" s="33">
        <v>42186</v>
      </c>
    </row>
    <row r="33" spans="16:39" ht="12.75" customHeight="1" x14ac:dyDescent="0.25">
      <c r="P33" s="35"/>
    </row>
    <row r="34" spans="16:39" ht="12.75" customHeight="1" x14ac:dyDescent="0.25">
      <c r="P34" s="36"/>
      <c r="Q34" s="36"/>
      <c r="R34" s="36"/>
      <c r="S34" s="36"/>
      <c r="T34" s="36"/>
    </row>
    <row r="35" spans="16:39" x14ac:dyDescent="0.25">
      <c r="P35" s="37"/>
      <c r="Q35" s="37"/>
      <c r="R35" s="37"/>
      <c r="S35" s="37"/>
      <c r="T35" s="37"/>
      <c r="AA35" s="70"/>
      <c r="AB35" s="71"/>
      <c r="AC35" s="71"/>
      <c r="AD35" s="71"/>
      <c r="AE35" s="71"/>
      <c r="AF35" s="31"/>
      <c r="AG35" s="38"/>
      <c r="AH35" s="38"/>
      <c r="AI35" s="38"/>
      <c r="AJ35" s="38"/>
      <c r="AK35" s="38"/>
      <c r="AL35" s="38"/>
      <c r="AM35" s="38"/>
    </row>
    <row r="36" spans="16:39" x14ac:dyDescent="0.25">
      <c r="P36" s="37"/>
      <c r="Q36" s="37"/>
      <c r="R36" s="37"/>
      <c r="S36" s="37"/>
      <c r="T36" s="37"/>
      <c r="AA36" s="72"/>
      <c r="AB36" s="73"/>
      <c r="AC36" s="73"/>
      <c r="AD36" s="73"/>
      <c r="AE36" s="73"/>
      <c r="AF36" s="31"/>
      <c r="AG36" s="38"/>
      <c r="AH36" s="38"/>
      <c r="AI36" s="38"/>
      <c r="AJ36" s="38"/>
      <c r="AK36" s="38"/>
      <c r="AL36" s="38"/>
      <c r="AM36" s="38"/>
    </row>
    <row r="37" spans="16:39" x14ac:dyDescent="0.25">
      <c r="P37" s="37"/>
      <c r="Q37" s="37"/>
      <c r="R37" s="37"/>
      <c r="S37" s="37"/>
      <c r="T37" s="37"/>
      <c r="AA37" s="39"/>
      <c r="AB37" s="39"/>
      <c r="AC37" s="39"/>
      <c r="AD37" s="39"/>
      <c r="AE37" s="40"/>
      <c r="AF37" s="31"/>
      <c r="AG37" s="38"/>
      <c r="AH37" s="38"/>
      <c r="AI37" s="38"/>
      <c r="AJ37" s="38"/>
      <c r="AK37" s="38"/>
      <c r="AL37" s="38"/>
      <c r="AM37" s="38"/>
    </row>
    <row r="38" spans="16:39" x14ac:dyDescent="0.25">
      <c r="P38" s="37"/>
      <c r="Q38" s="37"/>
      <c r="R38" s="37"/>
      <c r="S38" s="37"/>
      <c r="T38" s="37"/>
      <c r="AA38" s="41"/>
      <c r="AB38" s="41"/>
      <c r="AC38" s="41"/>
      <c r="AD38" s="41"/>
      <c r="AE38" s="41"/>
      <c r="AF38" s="42"/>
      <c r="AG38" s="42"/>
      <c r="AH38" s="42"/>
      <c r="AI38" s="42"/>
      <c r="AJ38" s="42"/>
      <c r="AK38" s="42"/>
      <c r="AL38" s="42"/>
      <c r="AM38" s="42"/>
    </row>
    <row r="39" spans="16:39" x14ac:dyDescent="0.25">
      <c r="Q39" s="30"/>
      <c r="R39" s="30"/>
      <c r="S39" s="30"/>
      <c r="AA39" s="41"/>
      <c r="AB39" s="41"/>
      <c r="AC39" s="41"/>
      <c r="AD39" s="41"/>
      <c r="AE39" s="41"/>
      <c r="AF39" s="31"/>
      <c r="AG39" s="38"/>
      <c r="AH39" s="38"/>
      <c r="AI39" s="38"/>
      <c r="AJ39" s="38"/>
      <c r="AK39" s="38"/>
      <c r="AL39" s="38"/>
      <c r="AM39" s="38"/>
    </row>
    <row r="40" spans="16:39" x14ac:dyDescent="0.25">
      <c r="AA40" s="41"/>
      <c r="AB40" s="41"/>
      <c r="AC40" s="41"/>
      <c r="AD40" s="41"/>
      <c r="AE40" s="41"/>
      <c r="AF40" s="31"/>
      <c r="AG40" s="38"/>
      <c r="AH40" s="38"/>
      <c r="AI40" s="38"/>
      <c r="AJ40" s="38"/>
      <c r="AK40" s="38"/>
      <c r="AL40" s="38"/>
      <c r="AM40" s="38"/>
    </row>
    <row r="41" spans="16:39" x14ac:dyDescent="0.25">
      <c r="AA41" s="41"/>
      <c r="AB41" s="41"/>
      <c r="AC41" s="41"/>
      <c r="AD41" s="41"/>
      <c r="AE41" s="41"/>
      <c r="AF41" s="31"/>
      <c r="AG41" s="38"/>
      <c r="AH41" s="38"/>
      <c r="AI41" s="38"/>
      <c r="AJ41" s="38"/>
      <c r="AK41" s="38"/>
      <c r="AL41" s="38"/>
      <c r="AM41" s="38"/>
    </row>
    <row r="42" spans="16:39" x14ac:dyDescent="0.25">
      <c r="AA42" s="41"/>
      <c r="AB42" s="41"/>
      <c r="AC42" s="41"/>
      <c r="AD42" s="41"/>
      <c r="AE42" s="41"/>
      <c r="AF42" s="31"/>
      <c r="AG42" s="38"/>
      <c r="AH42" s="38"/>
      <c r="AI42" s="38"/>
      <c r="AJ42" s="38"/>
      <c r="AK42" s="38"/>
      <c r="AL42" s="38"/>
      <c r="AM42" s="38"/>
    </row>
    <row r="43" spans="16:39" x14ac:dyDescent="0.25">
      <c r="AA43" s="41"/>
      <c r="AB43" s="41"/>
      <c r="AC43" s="41"/>
      <c r="AD43" s="41"/>
      <c r="AE43" s="41"/>
    </row>
    <row r="44" spans="16:39" x14ac:dyDescent="0.25">
      <c r="AA44" s="41"/>
      <c r="AB44" s="41"/>
      <c r="AC44" s="41"/>
      <c r="AD44" s="41"/>
      <c r="AE44" s="41"/>
    </row>
    <row r="45" spans="16:39" x14ac:dyDescent="0.25">
      <c r="AA45" s="41"/>
      <c r="AB45" s="41"/>
      <c r="AC45" s="41"/>
      <c r="AD45" s="41"/>
      <c r="AE45" s="41"/>
    </row>
    <row r="46" spans="16:39" x14ac:dyDescent="0.25">
      <c r="AA46" s="41"/>
      <c r="AB46" s="41"/>
      <c r="AC46" s="41"/>
      <c r="AD46" s="41"/>
      <c r="AE46" s="41"/>
    </row>
    <row r="47" spans="16:39" x14ac:dyDescent="0.25">
      <c r="P47" s="36"/>
      <c r="Q47" s="37"/>
      <c r="R47" s="37"/>
      <c r="S47" s="37"/>
      <c r="T47" s="37"/>
      <c r="AB47" s="41"/>
      <c r="AC47" s="41"/>
      <c r="AD47" s="41"/>
      <c r="AE47" s="41"/>
    </row>
    <row r="48" spans="16:39" x14ac:dyDescent="0.25">
      <c r="P48" s="36"/>
      <c r="Q48" s="37"/>
      <c r="R48" s="37"/>
      <c r="S48" s="37"/>
      <c r="T48" s="37"/>
      <c r="U48" s="30"/>
      <c r="AB48" s="41"/>
      <c r="AC48" s="41"/>
      <c r="AD48" s="41"/>
      <c r="AE48" s="41"/>
    </row>
    <row r="49" spans="18:31" x14ac:dyDescent="0.25">
      <c r="AA49" s="41"/>
      <c r="AB49" s="41"/>
      <c r="AC49" s="41"/>
      <c r="AD49" s="41"/>
      <c r="AE49" s="41"/>
    </row>
    <row r="54" spans="18:31" x14ac:dyDescent="0.25"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18:31" x14ac:dyDescent="0.25"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18:31" x14ac:dyDescent="0.25"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</sheetData>
  <mergeCells count="16">
    <mergeCell ref="R27:R28"/>
    <mergeCell ref="C1:M1"/>
    <mergeCell ref="C2:M2"/>
    <mergeCell ref="C3:M3"/>
    <mergeCell ref="P27:P28"/>
    <mergeCell ref="Q27:Q28"/>
    <mergeCell ref="Y27:Y28"/>
    <mergeCell ref="Z27:Z28"/>
    <mergeCell ref="AA27:AA28"/>
    <mergeCell ref="AA35:AE36"/>
    <mergeCell ref="S27:S28"/>
    <mergeCell ref="T27:T28"/>
    <mergeCell ref="U27:U28"/>
    <mergeCell ref="V27:V28"/>
    <mergeCell ref="W27:W28"/>
    <mergeCell ref="X27:X28"/>
  </mergeCells>
  <pageMargins left="0.42" right="0.16" top="0.53" bottom="1" header="0.25" footer="0.5"/>
  <pageSetup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A766-0CE7-481A-B479-968B35DCE94F}">
  <sheetPr>
    <tabColor rgb="FF92D050"/>
  </sheetPr>
  <dimension ref="A1:AD46"/>
  <sheetViews>
    <sheetView topLeftCell="A4" zoomScale="85" zoomScaleNormal="85" workbookViewId="0">
      <selection activeCell="L59" sqref="L59"/>
    </sheetView>
  </sheetViews>
  <sheetFormatPr defaultColWidth="9.1796875" defaultRowHeight="12.5" x14ac:dyDescent="0.25"/>
  <cols>
    <col min="1" max="1" width="12.26953125" style="1" customWidth="1"/>
    <col min="2" max="13" width="8.7265625" style="1" customWidth="1"/>
    <col min="14" max="14" width="9.1796875" style="1"/>
    <col min="15" max="15" width="10.54296875" style="1" customWidth="1"/>
    <col min="16" max="16384" width="9.1796875" style="1"/>
  </cols>
  <sheetData>
    <row r="1" spans="1:13" ht="15.5" x14ac:dyDescent="0.35"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22.5" x14ac:dyDescent="0.45"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x14ac:dyDescent="0.25"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ht="17" x14ac:dyDescent="0.5">
      <c r="D4" s="2" t="s">
        <v>26</v>
      </c>
    </row>
    <row r="5" spans="1:13" ht="17" x14ac:dyDescent="0.5">
      <c r="D5" s="2" t="s">
        <v>3</v>
      </c>
      <c r="F5" s="2" t="str">
        <f>' TEM'!$F$5</f>
        <v>: 2014-2025</v>
      </c>
    </row>
    <row r="6" spans="1:13" ht="17" x14ac:dyDescent="0.5">
      <c r="D6" s="2" t="s">
        <v>5</v>
      </c>
      <c r="F6" s="2" t="s">
        <v>6</v>
      </c>
    </row>
    <row r="7" spans="1:13" ht="16.5" x14ac:dyDescent="0.35">
      <c r="D7" s="3" t="s">
        <v>7</v>
      </c>
      <c r="F7" s="43" t="s">
        <v>8</v>
      </c>
    </row>
    <row r="8" spans="1:13" ht="16.5" x14ac:dyDescent="0.35">
      <c r="D8" s="3" t="s">
        <v>9</v>
      </c>
      <c r="F8" s="44" t="s">
        <v>10</v>
      </c>
    </row>
    <row r="9" spans="1:13" ht="17" x14ac:dyDescent="0.5">
      <c r="D9" s="2"/>
      <c r="F9" s="2"/>
    </row>
    <row r="10" spans="1:13" ht="26.25" customHeight="1" x14ac:dyDescent="0.25">
      <c r="A10" s="45" t="s">
        <v>3</v>
      </c>
      <c r="B10" s="45" t="s">
        <v>11</v>
      </c>
      <c r="C10" s="45" t="s">
        <v>12</v>
      </c>
      <c r="D10" s="45" t="s">
        <v>13</v>
      </c>
      <c r="E10" s="45" t="s">
        <v>14</v>
      </c>
      <c r="F10" s="45" t="s">
        <v>15</v>
      </c>
      <c r="G10" s="45" t="s">
        <v>16</v>
      </c>
      <c r="H10" s="45" t="s">
        <v>17</v>
      </c>
      <c r="I10" s="45" t="s">
        <v>18</v>
      </c>
      <c r="J10" s="45" t="s">
        <v>19</v>
      </c>
      <c r="K10" s="45" t="s">
        <v>20</v>
      </c>
      <c r="L10" s="45" t="s">
        <v>21</v>
      </c>
      <c r="M10" s="45" t="s">
        <v>22</v>
      </c>
    </row>
    <row r="11" spans="1:13" ht="26.25" customHeight="1" x14ac:dyDescent="0.25">
      <c r="A11" s="14">
        <v>2014</v>
      </c>
      <c r="B11" s="15">
        <v>376.7</v>
      </c>
      <c r="C11" s="15">
        <v>212.3</v>
      </c>
      <c r="D11" s="15">
        <v>102.59999999999998</v>
      </c>
      <c r="E11" s="15">
        <v>71.899999999999991</v>
      </c>
      <c r="F11" s="16">
        <v>113.1</v>
      </c>
      <c r="G11" s="15">
        <v>64.699999999999989</v>
      </c>
      <c r="H11" s="15">
        <v>232.6</v>
      </c>
      <c r="I11" s="15">
        <v>9.6</v>
      </c>
      <c r="J11" s="15">
        <v>21.799999999999997</v>
      </c>
      <c r="K11" s="15">
        <v>21</v>
      </c>
      <c r="L11" s="15">
        <v>155</v>
      </c>
      <c r="M11" s="15">
        <v>138.9</v>
      </c>
    </row>
    <row r="12" spans="1:13" ht="26.25" customHeight="1" x14ac:dyDescent="0.25">
      <c r="A12" s="14">
        <v>2015</v>
      </c>
      <c r="B12" s="15">
        <v>362.7</v>
      </c>
      <c r="C12" s="15">
        <v>241.4</v>
      </c>
      <c r="D12" s="15">
        <v>193.5</v>
      </c>
      <c r="E12" s="15">
        <v>130.70000000000002</v>
      </c>
      <c r="F12" s="16">
        <v>39.1</v>
      </c>
      <c r="G12" s="15">
        <v>83.399999999999991</v>
      </c>
      <c r="H12" s="15">
        <v>4.7</v>
      </c>
      <c r="I12" s="15">
        <v>11.7</v>
      </c>
      <c r="J12" s="15">
        <v>0.2</v>
      </c>
      <c r="K12" s="15">
        <v>28.5</v>
      </c>
      <c r="L12" s="15">
        <v>54.100000000000009</v>
      </c>
      <c r="M12" s="15">
        <v>155.39999999999998</v>
      </c>
    </row>
    <row r="13" spans="1:13" ht="26.25" customHeight="1" x14ac:dyDescent="0.25">
      <c r="A13" s="46">
        <v>2016</v>
      </c>
      <c r="B13" s="20">
        <v>125.89999999999999</v>
      </c>
      <c r="C13" s="20">
        <v>271.90000000000003</v>
      </c>
      <c r="D13" s="20">
        <v>228.80000000000004</v>
      </c>
      <c r="E13" s="20">
        <v>87.999999999999986</v>
      </c>
      <c r="F13" s="21">
        <v>143.30000000000004</v>
      </c>
      <c r="G13" s="20">
        <v>92.999999999999986</v>
      </c>
      <c r="H13" s="20">
        <v>134.79999999999998</v>
      </c>
      <c r="I13" s="20">
        <v>86.6</v>
      </c>
      <c r="J13" s="20">
        <v>159.90000000000003</v>
      </c>
      <c r="K13" s="20">
        <v>164.8</v>
      </c>
      <c r="L13" s="20">
        <v>137.99999999999997</v>
      </c>
      <c r="M13" s="20">
        <v>178.79999999999995</v>
      </c>
    </row>
    <row r="14" spans="1:13" ht="26.25" customHeight="1" x14ac:dyDescent="0.25">
      <c r="A14" s="46">
        <v>2017</v>
      </c>
      <c r="B14" s="20">
        <v>320.99999999999994</v>
      </c>
      <c r="C14" s="20">
        <v>351.1</v>
      </c>
      <c r="D14" s="20">
        <v>113.5</v>
      </c>
      <c r="E14" s="20">
        <v>93.5</v>
      </c>
      <c r="F14" s="21">
        <v>142.80000000000001</v>
      </c>
      <c r="G14" s="20">
        <v>100.8</v>
      </c>
      <c r="H14" s="20">
        <v>107.2</v>
      </c>
      <c r="I14" s="20">
        <v>18.100000000000001</v>
      </c>
      <c r="J14" s="20">
        <v>47.500000000000007</v>
      </c>
      <c r="K14" s="20">
        <v>112.3</v>
      </c>
      <c r="L14" s="20">
        <v>153.5</v>
      </c>
      <c r="M14" s="20">
        <v>242.40000000000003</v>
      </c>
    </row>
    <row r="15" spans="1:13" ht="26.25" customHeight="1" x14ac:dyDescent="0.25">
      <c r="A15" s="14">
        <v>2018</v>
      </c>
      <c r="B15" s="15">
        <v>141.90000000000003</v>
      </c>
      <c r="C15" s="15">
        <v>178.20000000000002</v>
      </c>
      <c r="D15" s="15">
        <v>222.19999999999996</v>
      </c>
      <c r="E15" s="15">
        <v>153.69999999999996</v>
      </c>
      <c r="F15" s="16">
        <v>70.400000000000006</v>
      </c>
      <c r="G15" s="15">
        <v>196.6</v>
      </c>
      <c r="H15" s="15">
        <v>3</v>
      </c>
      <c r="I15" s="15">
        <v>0</v>
      </c>
      <c r="J15" s="15">
        <v>29.9</v>
      </c>
      <c r="K15" s="15">
        <v>87.6</v>
      </c>
      <c r="L15" s="15">
        <v>116.49999999999999</v>
      </c>
      <c r="M15" s="15">
        <v>167.89999999999998</v>
      </c>
    </row>
    <row r="16" spans="1:13" ht="26.25" customHeight="1" x14ac:dyDescent="0.25">
      <c r="A16" s="14">
        <v>2019</v>
      </c>
      <c r="B16" s="15">
        <v>332.79999999999995</v>
      </c>
      <c r="C16" s="15">
        <v>180.3</v>
      </c>
      <c r="D16" s="15">
        <v>210.09999999999997</v>
      </c>
      <c r="E16" s="15">
        <v>150.69999999999999</v>
      </c>
      <c r="F16" s="16">
        <v>93.800000000000011</v>
      </c>
      <c r="G16" s="15">
        <v>10</v>
      </c>
      <c r="H16" s="15">
        <v>14.399999999999999</v>
      </c>
      <c r="I16" s="15">
        <v>1</v>
      </c>
      <c r="J16" s="15">
        <v>0</v>
      </c>
      <c r="K16" s="15">
        <v>11.2</v>
      </c>
      <c r="L16" s="15">
        <v>74.599999999999994</v>
      </c>
      <c r="M16" s="15">
        <v>178.99999999999997</v>
      </c>
    </row>
    <row r="17" spans="1:30" ht="26.25" customHeight="1" x14ac:dyDescent="0.25">
      <c r="A17" s="14">
        <v>2020</v>
      </c>
      <c r="B17" s="15">
        <v>368.1</v>
      </c>
      <c r="C17" s="15">
        <v>297.90000000000003</v>
      </c>
      <c r="D17" s="15">
        <v>287.7</v>
      </c>
      <c r="E17" s="15">
        <v>202</v>
      </c>
      <c r="F17" s="16">
        <v>185.6</v>
      </c>
      <c r="G17" s="15">
        <v>79.900000000000006</v>
      </c>
      <c r="H17" s="15">
        <v>30.9</v>
      </c>
      <c r="I17" s="15">
        <v>28.8</v>
      </c>
      <c r="J17" s="15">
        <v>56.199999999999996</v>
      </c>
      <c r="K17" s="15">
        <v>62.1</v>
      </c>
      <c r="L17" s="15">
        <v>148.19999999999999</v>
      </c>
      <c r="M17" s="15">
        <v>257.59999999999997</v>
      </c>
    </row>
    <row r="18" spans="1:30" ht="31.5" customHeight="1" x14ac:dyDescent="0.3">
      <c r="A18" s="46">
        <v>2021</v>
      </c>
      <c r="B18" s="20">
        <v>198.7</v>
      </c>
      <c r="C18" s="20">
        <v>283.2</v>
      </c>
      <c r="D18" s="20">
        <v>120.40000000000002</v>
      </c>
      <c r="E18" s="20">
        <v>234</v>
      </c>
      <c r="F18" s="21">
        <v>49.900000000000006</v>
      </c>
      <c r="G18" s="20">
        <v>127.6</v>
      </c>
      <c r="H18" s="20">
        <v>45.3</v>
      </c>
      <c r="I18" s="20">
        <v>31.299999999999997</v>
      </c>
      <c r="J18" s="20">
        <v>207.9</v>
      </c>
      <c r="K18" s="20">
        <v>90.5</v>
      </c>
      <c r="L18" s="20">
        <v>209.20000000000002</v>
      </c>
      <c r="M18" s="20">
        <v>235.70000000000005</v>
      </c>
      <c r="N18" s="47">
        <f>SUM(B18:M18)</f>
        <v>1833.7</v>
      </c>
      <c r="O18" s="35"/>
    </row>
    <row r="19" spans="1:30" ht="30" customHeight="1" x14ac:dyDescent="0.3">
      <c r="A19" s="14">
        <v>2022</v>
      </c>
      <c r="B19" s="15">
        <v>109.10000000000001</v>
      </c>
      <c r="C19" s="15">
        <v>120.99999999999999</v>
      </c>
      <c r="D19" s="15">
        <v>288.99999999999994</v>
      </c>
      <c r="E19" s="15">
        <v>184.50000000000003</v>
      </c>
      <c r="F19" s="16">
        <v>191.60000000000002</v>
      </c>
      <c r="G19" s="15">
        <v>114.59999999999998</v>
      </c>
      <c r="H19" s="15">
        <v>43.1</v>
      </c>
      <c r="I19" s="15">
        <v>101.10000000000001</v>
      </c>
      <c r="J19" s="15">
        <v>56.600000000000009</v>
      </c>
      <c r="K19" s="15">
        <v>200.39999999999998</v>
      </c>
      <c r="L19" s="15">
        <v>156.69999999999996</v>
      </c>
      <c r="M19" s="15">
        <v>152.5</v>
      </c>
      <c r="N19" s="47">
        <f>SUM(B19:M19)</f>
        <v>1720.1999999999996</v>
      </c>
      <c r="O19" s="35"/>
    </row>
    <row r="20" spans="1:30" ht="33" customHeight="1" x14ac:dyDescent="0.3">
      <c r="A20" s="46">
        <v>2023</v>
      </c>
      <c r="B20" s="20">
        <v>148.69999999999999</v>
      </c>
      <c r="C20" s="20">
        <v>310.90000000000009</v>
      </c>
      <c r="D20" s="20">
        <v>276.50000000000006</v>
      </c>
      <c r="E20" s="20">
        <v>130.1</v>
      </c>
      <c r="F20" s="21">
        <v>69.099999999999994</v>
      </c>
      <c r="G20" s="20">
        <v>151.30000000000001</v>
      </c>
      <c r="H20" s="20">
        <v>89.000000000000014</v>
      </c>
      <c r="I20" s="20">
        <v>0</v>
      </c>
      <c r="J20" s="20">
        <v>0.5</v>
      </c>
      <c r="K20" s="20">
        <v>0</v>
      </c>
      <c r="L20" s="20">
        <v>138.19999999999999</v>
      </c>
      <c r="M20" s="20">
        <v>77.8</v>
      </c>
      <c r="N20" s="47">
        <f>SUM(B20:M20)</f>
        <v>1392.1000000000001</v>
      </c>
      <c r="O20" s="35"/>
      <c r="Q20" s="45" t="s">
        <v>11</v>
      </c>
      <c r="R20" s="45" t="s">
        <v>12</v>
      </c>
      <c r="S20" s="45" t="s">
        <v>13</v>
      </c>
      <c r="T20" s="45" t="s">
        <v>14</v>
      </c>
      <c r="U20" s="45" t="s">
        <v>15</v>
      </c>
      <c r="V20" s="45" t="s">
        <v>16</v>
      </c>
      <c r="W20" s="45" t="s">
        <v>17</v>
      </c>
      <c r="X20" s="45" t="s">
        <v>18</v>
      </c>
      <c r="Y20" s="45" t="s">
        <v>19</v>
      </c>
      <c r="Z20" s="45" t="s">
        <v>20</v>
      </c>
      <c r="AA20" s="45" t="s">
        <v>21</v>
      </c>
      <c r="AB20" s="45" t="s">
        <v>22</v>
      </c>
    </row>
    <row r="21" spans="1:30" ht="33" customHeight="1" x14ac:dyDescent="0.25">
      <c r="A21" s="46">
        <v>2024</v>
      </c>
      <c r="B21" s="20">
        <v>368.5</v>
      </c>
      <c r="C21" s="20">
        <v>197.29999999999998</v>
      </c>
      <c r="D21" s="20">
        <v>310.5</v>
      </c>
      <c r="E21" s="20">
        <v>163.70000000000005</v>
      </c>
      <c r="F21" s="21">
        <v>305.09999999999997</v>
      </c>
      <c r="G21" s="20">
        <v>129.5</v>
      </c>
      <c r="H21" s="20">
        <v>59.3</v>
      </c>
      <c r="I21" s="20">
        <v>6.9</v>
      </c>
      <c r="J21" s="20">
        <v>72.2</v>
      </c>
      <c r="K21" s="20">
        <v>98.1</v>
      </c>
      <c r="L21" s="20">
        <v>168.70000000000005</v>
      </c>
      <c r="M21" s="20">
        <v>332.8</v>
      </c>
      <c r="N21" s="30"/>
      <c r="O21" s="35"/>
      <c r="P21" s="48" t="str">
        <f t="shared" ref="P21:AB21" si="0">A23</f>
        <v>Jumlah</v>
      </c>
      <c r="Q21" s="49">
        <f t="shared" si="0"/>
        <v>3376.4999999999995</v>
      </c>
      <c r="R21" s="49">
        <f t="shared" si="0"/>
        <v>2871.0000000000005</v>
      </c>
      <c r="S21" s="49">
        <f t="shared" si="0"/>
        <v>2567</v>
      </c>
      <c r="T21" s="49">
        <f t="shared" si="0"/>
        <v>1775.9</v>
      </c>
      <c r="U21" s="49">
        <f t="shared" si="0"/>
        <v>1556.7999999999997</v>
      </c>
      <c r="V21" s="49">
        <f t="shared" si="0"/>
        <v>1322.5</v>
      </c>
      <c r="W21" s="49">
        <f t="shared" si="0"/>
        <v>848.19999999999982</v>
      </c>
      <c r="X21" s="49">
        <f t="shared" si="0"/>
        <v>471.90000000000003</v>
      </c>
      <c r="Y21" s="49">
        <f t="shared" si="0"/>
        <v>684.5</v>
      </c>
      <c r="Z21" s="49">
        <f t="shared" si="0"/>
        <v>956.1</v>
      </c>
      <c r="AA21" s="49">
        <f t="shared" si="0"/>
        <v>1624.6000000000004</v>
      </c>
      <c r="AB21" s="49">
        <f t="shared" si="0"/>
        <v>2527.8999999999996</v>
      </c>
    </row>
    <row r="22" spans="1:30" ht="33" customHeight="1" x14ac:dyDescent="0.25">
      <c r="A22" s="46">
        <v>2025</v>
      </c>
      <c r="B22" s="20">
        <v>522.4</v>
      </c>
      <c r="C22" s="20">
        <v>225.5</v>
      </c>
      <c r="D22" s="20">
        <v>212.2</v>
      </c>
      <c r="E22" s="20">
        <v>173.10000000000002</v>
      </c>
      <c r="F22" s="21">
        <v>153.00000000000003</v>
      </c>
      <c r="G22" s="20">
        <v>171.1</v>
      </c>
      <c r="H22" s="20">
        <v>83.899999999999977</v>
      </c>
      <c r="I22" s="20">
        <v>176.8</v>
      </c>
      <c r="J22" s="20">
        <v>31.800000000000004</v>
      </c>
      <c r="K22" s="20">
        <v>79.599999999999994</v>
      </c>
      <c r="L22" s="20">
        <v>111.90000000000002</v>
      </c>
      <c r="M22" s="20">
        <v>409.09999999999997</v>
      </c>
      <c r="N22" s="30"/>
      <c r="O22" s="35"/>
      <c r="P22" s="50" t="str">
        <f>'[1]CH MAX blnan'!A23</f>
        <v xml:space="preserve">Max </v>
      </c>
      <c r="Q22" s="51">
        <f>'[1]CH MAX blnan'!B23</f>
        <v>84.8</v>
      </c>
      <c r="R22" s="51">
        <f>'[1]CH MAX blnan'!C23</f>
        <v>89.6</v>
      </c>
      <c r="S22" s="51">
        <f>'[1]CH MAX blnan'!D23</f>
        <v>180.4</v>
      </c>
      <c r="T22" s="51">
        <f>'[1]CH MAX blnan'!E23</f>
        <v>99.8</v>
      </c>
      <c r="U22" s="51">
        <f>'[1]CH MAX blnan'!F23</f>
        <v>89.6</v>
      </c>
      <c r="V22" s="51">
        <f>'[1]CH MAX blnan'!G23</f>
        <v>84.2</v>
      </c>
      <c r="W22" s="51">
        <f>'[1]CH MAX blnan'!H23</f>
        <v>61</v>
      </c>
      <c r="X22" s="51">
        <f>'[1]CH MAX blnan'!I23</f>
        <v>43.5</v>
      </c>
      <c r="Y22" s="51">
        <f>'[1]CH MAX blnan'!J23</f>
        <v>105.8</v>
      </c>
      <c r="Z22" s="51">
        <f>'[1]CH MAX blnan'!K23</f>
        <v>68.5</v>
      </c>
      <c r="AA22" s="51">
        <f>'[1]CH MAX blnan'!L23</f>
        <v>77.400000000000006</v>
      </c>
      <c r="AB22" s="51">
        <f>'[1]CH MAX blnan'!M23</f>
        <v>94</v>
      </c>
    </row>
    <row r="23" spans="1:30" ht="30" customHeight="1" x14ac:dyDescent="0.25">
      <c r="A23" s="52" t="s">
        <v>27</v>
      </c>
      <c r="B23" s="52">
        <f>SUM(B11:B22)</f>
        <v>3376.4999999999995</v>
      </c>
      <c r="C23" s="52">
        <f t="shared" ref="C23:M23" si="1">SUM(C11:C22)</f>
        <v>2871.0000000000005</v>
      </c>
      <c r="D23" s="52">
        <f t="shared" si="1"/>
        <v>2567</v>
      </c>
      <c r="E23" s="52">
        <f t="shared" si="1"/>
        <v>1775.9</v>
      </c>
      <c r="F23" s="52">
        <f t="shared" si="1"/>
        <v>1556.7999999999997</v>
      </c>
      <c r="G23" s="52">
        <f t="shared" si="1"/>
        <v>1322.5</v>
      </c>
      <c r="H23" s="52">
        <f t="shared" si="1"/>
        <v>848.19999999999982</v>
      </c>
      <c r="I23" s="52">
        <f t="shared" si="1"/>
        <v>471.90000000000003</v>
      </c>
      <c r="J23" s="52">
        <f t="shared" si="1"/>
        <v>684.5</v>
      </c>
      <c r="K23" s="52">
        <f t="shared" si="1"/>
        <v>956.1</v>
      </c>
      <c r="L23" s="52">
        <f t="shared" si="1"/>
        <v>1624.6000000000004</v>
      </c>
      <c r="M23" s="52">
        <f t="shared" si="1"/>
        <v>2527.8999999999996</v>
      </c>
    </row>
    <row r="24" spans="1:30" ht="33" customHeight="1" x14ac:dyDescent="0.25">
      <c r="A24" s="53" t="s">
        <v>28</v>
      </c>
      <c r="B24" s="53">
        <f>MAX(B11:B22)</f>
        <v>522.4</v>
      </c>
      <c r="C24" s="53">
        <f t="shared" ref="C24:M24" si="2">MAX(C11:C22)</f>
        <v>351.1</v>
      </c>
      <c r="D24" s="53">
        <f t="shared" si="2"/>
        <v>310.5</v>
      </c>
      <c r="E24" s="53">
        <f t="shared" si="2"/>
        <v>234</v>
      </c>
      <c r="F24" s="53">
        <f t="shared" si="2"/>
        <v>305.09999999999997</v>
      </c>
      <c r="G24" s="53">
        <f t="shared" si="2"/>
        <v>196.6</v>
      </c>
      <c r="H24" s="53">
        <f t="shared" si="2"/>
        <v>232.6</v>
      </c>
      <c r="I24" s="53">
        <f t="shared" si="2"/>
        <v>176.8</v>
      </c>
      <c r="J24" s="53">
        <f t="shared" si="2"/>
        <v>207.9</v>
      </c>
      <c r="K24" s="53">
        <f t="shared" si="2"/>
        <v>200.39999999999998</v>
      </c>
      <c r="L24" s="53">
        <f t="shared" si="2"/>
        <v>209.20000000000002</v>
      </c>
      <c r="M24" s="53">
        <f t="shared" si="2"/>
        <v>409.09999999999997</v>
      </c>
      <c r="O24" s="5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 spans="1:30" ht="34.9" customHeight="1" x14ac:dyDescent="0.25">
      <c r="A25" s="56" t="s">
        <v>25</v>
      </c>
      <c r="B25" s="56">
        <f>MIN(B11:B22)</f>
        <v>109.10000000000001</v>
      </c>
      <c r="C25" s="56">
        <f t="shared" ref="C25:M25" si="3">MIN(C11:C22)</f>
        <v>120.99999999999999</v>
      </c>
      <c r="D25" s="56">
        <f t="shared" si="3"/>
        <v>102.59999999999998</v>
      </c>
      <c r="E25" s="56">
        <f t="shared" si="3"/>
        <v>71.899999999999991</v>
      </c>
      <c r="F25" s="56">
        <f t="shared" si="3"/>
        <v>39.1</v>
      </c>
      <c r="G25" s="56">
        <f t="shared" si="3"/>
        <v>10</v>
      </c>
      <c r="H25" s="56">
        <f t="shared" si="3"/>
        <v>3</v>
      </c>
      <c r="I25" s="56">
        <f t="shared" si="3"/>
        <v>0</v>
      </c>
      <c r="J25" s="56">
        <f t="shared" si="3"/>
        <v>0</v>
      </c>
      <c r="K25" s="56">
        <f t="shared" si="3"/>
        <v>0</v>
      </c>
      <c r="L25" s="56">
        <f t="shared" si="3"/>
        <v>54.100000000000009</v>
      </c>
      <c r="M25" s="56">
        <f t="shared" si="3"/>
        <v>77.8</v>
      </c>
    </row>
    <row r="27" spans="1:30" ht="30" customHeight="1" x14ac:dyDescent="0.25">
      <c r="A27" s="8" t="s">
        <v>3</v>
      </c>
      <c r="B27" s="8" t="s">
        <v>11</v>
      </c>
      <c r="C27" s="8" t="s">
        <v>12</v>
      </c>
      <c r="D27" s="8" t="s">
        <v>13</v>
      </c>
      <c r="E27" s="8" t="s">
        <v>14</v>
      </c>
      <c r="F27" s="8" t="s">
        <v>15</v>
      </c>
      <c r="G27" s="8" t="s">
        <v>16</v>
      </c>
      <c r="H27" s="8" t="s">
        <v>17</v>
      </c>
      <c r="I27" s="8" t="s">
        <v>18</v>
      </c>
      <c r="J27" s="8" t="s">
        <v>19</v>
      </c>
      <c r="K27" s="8" t="s">
        <v>20</v>
      </c>
      <c r="L27" s="8" t="s">
        <v>21</v>
      </c>
      <c r="M27" s="8" t="s">
        <v>22</v>
      </c>
    </row>
    <row r="28" spans="1:30" ht="24" customHeight="1" x14ac:dyDescent="0.25">
      <c r="A28" s="57">
        <v>2012</v>
      </c>
      <c r="B28" s="58">
        <v>302</v>
      </c>
      <c r="C28" s="58">
        <v>181</v>
      </c>
      <c r="D28" s="58">
        <v>91</v>
      </c>
      <c r="E28" s="58">
        <v>184</v>
      </c>
      <c r="F28" s="59">
        <v>98</v>
      </c>
      <c r="G28" s="58">
        <v>36</v>
      </c>
      <c r="H28" s="58">
        <v>16</v>
      </c>
      <c r="I28" s="58">
        <v>0</v>
      </c>
      <c r="J28" s="58">
        <v>7</v>
      </c>
      <c r="K28" s="58">
        <v>128</v>
      </c>
      <c r="L28" s="58">
        <v>51</v>
      </c>
      <c r="M28" s="58">
        <v>95</v>
      </c>
      <c r="AB28" s="54" t="s">
        <v>29</v>
      </c>
      <c r="AC28" s="54"/>
      <c r="AD28" s="54" t="s">
        <v>30</v>
      </c>
    </row>
    <row r="29" spans="1:30" ht="24" customHeight="1" x14ac:dyDescent="0.25">
      <c r="A29" s="57">
        <v>2013</v>
      </c>
      <c r="B29" s="58">
        <v>424</v>
      </c>
      <c r="C29" s="58">
        <v>212</v>
      </c>
      <c r="D29" s="58">
        <v>224</v>
      </c>
      <c r="E29" s="58">
        <v>76.399999999999991</v>
      </c>
      <c r="F29" s="59">
        <v>261</v>
      </c>
      <c r="G29" s="58">
        <v>60</v>
      </c>
      <c r="H29" s="58">
        <v>243.6</v>
      </c>
      <c r="I29" s="58">
        <v>121.8</v>
      </c>
      <c r="J29" s="58">
        <v>35</v>
      </c>
      <c r="K29" s="58">
        <v>83.5</v>
      </c>
      <c r="L29" s="58">
        <v>149</v>
      </c>
      <c r="M29" s="58">
        <v>381</v>
      </c>
      <c r="AB29" s="54"/>
      <c r="AC29" s="54"/>
      <c r="AD29" s="54"/>
    </row>
    <row r="30" spans="1:30" ht="24" customHeight="1" x14ac:dyDescent="0.25">
      <c r="A30" s="57">
        <v>2014</v>
      </c>
      <c r="B30" s="58">
        <v>376.7</v>
      </c>
      <c r="C30" s="58">
        <v>212.3</v>
      </c>
      <c r="D30" s="58">
        <v>102.59999999999998</v>
      </c>
      <c r="E30" s="58">
        <v>71.899999999999991</v>
      </c>
      <c r="F30" s="59">
        <v>113.1</v>
      </c>
      <c r="G30" s="58">
        <v>64.699999999999989</v>
      </c>
      <c r="H30" s="58">
        <v>232.6</v>
      </c>
      <c r="I30" s="58">
        <v>9.6</v>
      </c>
      <c r="J30" s="58">
        <v>21.799999999999997</v>
      </c>
      <c r="K30" s="58">
        <v>21</v>
      </c>
      <c r="L30" s="58">
        <v>155</v>
      </c>
      <c r="M30" s="58">
        <v>138.9</v>
      </c>
      <c r="AB30" s="54"/>
      <c r="AC30" s="54"/>
      <c r="AD30" s="54"/>
    </row>
    <row r="31" spans="1:30" ht="24" customHeight="1" x14ac:dyDescent="0.25">
      <c r="A31" s="60">
        <v>2015</v>
      </c>
      <c r="B31" s="61">
        <v>362.7</v>
      </c>
      <c r="C31" s="61">
        <v>241.4</v>
      </c>
      <c r="D31" s="61">
        <v>193.5</v>
      </c>
      <c r="E31" s="61">
        <v>130.70000000000002</v>
      </c>
      <c r="F31" s="62">
        <v>39.1</v>
      </c>
      <c r="G31" s="61">
        <v>83.399999999999991</v>
      </c>
      <c r="H31" s="61">
        <v>4.7</v>
      </c>
      <c r="I31" s="61">
        <v>11.7</v>
      </c>
      <c r="J31" s="61">
        <v>0.2</v>
      </c>
      <c r="K31" s="61">
        <v>28.5</v>
      </c>
      <c r="L31" s="61">
        <v>54.100000000000009</v>
      </c>
      <c r="M31" s="61">
        <v>155.39999999999998</v>
      </c>
      <c r="AB31" s="54">
        <v>25</v>
      </c>
      <c r="AC31" s="54"/>
      <c r="AD31" s="54">
        <v>60.7</v>
      </c>
    </row>
    <row r="32" spans="1:30" ht="24" customHeight="1" x14ac:dyDescent="0.25">
      <c r="A32" s="60">
        <v>2016</v>
      </c>
      <c r="B32" s="61">
        <v>125.89999999999999</v>
      </c>
      <c r="C32" s="61">
        <v>271.90000000000003</v>
      </c>
      <c r="D32" s="61">
        <v>228.80000000000004</v>
      </c>
      <c r="E32" s="61">
        <v>87.999999999999986</v>
      </c>
      <c r="F32" s="62">
        <v>143.30000000000004</v>
      </c>
      <c r="G32" s="61">
        <v>92.999999999999986</v>
      </c>
      <c r="H32" s="61">
        <v>134.79999999999998</v>
      </c>
      <c r="I32" s="61">
        <v>86.6</v>
      </c>
      <c r="J32" s="61">
        <v>159.90000000000003</v>
      </c>
      <c r="K32" s="61">
        <v>164.8</v>
      </c>
      <c r="L32" s="61">
        <v>137.99999999999997</v>
      </c>
      <c r="M32" s="61">
        <v>178.79999999999995</v>
      </c>
      <c r="AB32" s="54">
        <v>22</v>
      </c>
      <c r="AC32" s="54"/>
      <c r="AD32" s="54">
        <v>56.1</v>
      </c>
    </row>
    <row r="33" spans="1:30" ht="24" customHeight="1" x14ac:dyDescent="0.25">
      <c r="A33" s="63" t="s">
        <v>27</v>
      </c>
      <c r="B33" s="63">
        <f>SUM(B28:B32)</f>
        <v>1591.3000000000002</v>
      </c>
      <c r="C33" s="63">
        <f t="shared" ref="C33:M33" si="4">SUM(C28:C32)</f>
        <v>1118.5999999999999</v>
      </c>
      <c r="D33" s="63">
        <f t="shared" si="4"/>
        <v>839.9</v>
      </c>
      <c r="E33" s="63">
        <f t="shared" si="4"/>
        <v>551</v>
      </c>
      <c r="F33" s="63">
        <f t="shared" si="4"/>
        <v>654.50000000000011</v>
      </c>
      <c r="G33" s="63">
        <f t="shared" si="4"/>
        <v>337.09999999999997</v>
      </c>
      <c r="H33" s="63">
        <f t="shared" si="4"/>
        <v>631.70000000000005</v>
      </c>
      <c r="I33" s="63">
        <f t="shared" si="4"/>
        <v>229.7</v>
      </c>
      <c r="J33" s="63">
        <f t="shared" si="4"/>
        <v>223.90000000000003</v>
      </c>
      <c r="K33" s="63">
        <f t="shared" si="4"/>
        <v>425.8</v>
      </c>
      <c r="L33" s="63">
        <f t="shared" si="4"/>
        <v>547.1</v>
      </c>
      <c r="M33" s="63">
        <f t="shared" si="4"/>
        <v>949.09999999999991</v>
      </c>
      <c r="AB33" s="54">
        <v>25</v>
      </c>
      <c r="AC33" s="54"/>
      <c r="AD33" s="54">
        <v>43.4</v>
      </c>
    </row>
    <row r="34" spans="1:30" ht="24" customHeight="1" x14ac:dyDescent="0.25">
      <c r="A34" s="64" t="s">
        <v>28</v>
      </c>
      <c r="B34" s="64">
        <f>MAX(B28:B32)</f>
        <v>424</v>
      </c>
      <c r="C34" s="64">
        <f t="shared" ref="C34:M34" si="5">MAX(C28:C32)</f>
        <v>271.90000000000003</v>
      </c>
      <c r="D34" s="64">
        <f t="shared" si="5"/>
        <v>228.80000000000004</v>
      </c>
      <c r="E34" s="64">
        <f t="shared" si="5"/>
        <v>184</v>
      </c>
      <c r="F34" s="64">
        <f t="shared" si="5"/>
        <v>261</v>
      </c>
      <c r="G34" s="64">
        <f t="shared" si="5"/>
        <v>92.999999999999986</v>
      </c>
      <c r="H34" s="64">
        <f t="shared" si="5"/>
        <v>243.6</v>
      </c>
      <c r="I34" s="64">
        <f t="shared" si="5"/>
        <v>121.8</v>
      </c>
      <c r="J34" s="64">
        <f t="shared" si="5"/>
        <v>159.90000000000003</v>
      </c>
      <c r="K34" s="64">
        <f t="shared" si="5"/>
        <v>164.8</v>
      </c>
      <c r="L34" s="64">
        <f t="shared" si="5"/>
        <v>155</v>
      </c>
      <c r="M34" s="64">
        <f t="shared" si="5"/>
        <v>381</v>
      </c>
      <c r="AB34" s="54">
        <v>21</v>
      </c>
      <c r="AC34" s="54"/>
      <c r="AD34" s="54">
        <v>51</v>
      </c>
    </row>
    <row r="35" spans="1:30" ht="24" customHeight="1" x14ac:dyDescent="0.25">
      <c r="A35" s="65" t="s">
        <v>25</v>
      </c>
      <c r="B35" s="65">
        <f>MIN(B28:B32)</f>
        <v>125.89999999999999</v>
      </c>
      <c r="C35" s="65">
        <f t="shared" ref="C35:M35" si="6">MIN(C28:C32)</f>
        <v>181</v>
      </c>
      <c r="D35" s="65">
        <f t="shared" si="6"/>
        <v>91</v>
      </c>
      <c r="E35" s="65">
        <f t="shared" si="6"/>
        <v>71.899999999999991</v>
      </c>
      <c r="F35" s="65">
        <f t="shared" si="6"/>
        <v>39.1</v>
      </c>
      <c r="G35" s="65">
        <f t="shared" si="6"/>
        <v>36</v>
      </c>
      <c r="H35" s="65">
        <f t="shared" si="6"/>
        <v>4.7</v>
      </c>
      <c r="I35" s="65">
        <f t="shared" si="6"/>
        <v>0</v>
      </c>
      <c r="J35" s="65">
        <f t="shared" si="6"/>
        <v>0.2</v>
      </c>
      <c r="K35" s="65">
        <f t="shared" si="6"/>
        <v>21</v>
      </c>
      <c r="L35" s="65">
        <f t="shared" si="6"/>
        <v>51</v>
      </c>
      <c r="M35" s="65">
        <f t="shared" si="6"/>
        <v>95</v>
      </c>
      <c r="AB35" s="54">
        <v>24</v>
      </c>
      <c r="AC35" s="54"/>
      <c r="AD35" s="54">
        <v>65.099999999999994</v>
      </c>
    </row>
    <row r="36" spans="1:30" x14ac:dyDescent="0.25">
      <c r="AB36" s="1">
        <v>14</v>
      </c>
      <c r="AD36" s="54">
        <v>58.7</v>
      </c>
    </row>
    <row r="37" spans="1:30" x14ac:dyDescent="0.25">
      <c r="AB37" s="1">
        <v>10</v>
      </c>
      <c r="AD37" s="54">
        <v>36.6</v>
      </c>
    </row>
    <row r="38" spans="1:30" ht="32.25" customHeight="1" x14ac:dyDescent="0.25">
      <c r="A38" s="6" t="s">
        <v>3</v>
      </c>
      <c r="B38" s="6" t="s">
        <v>11</v>
      </c>
      <c r="C38" s="6" t="s">
        <v>12</v>
      </c>
      <c r="D38" s="6" t="s">
        <v>13</v>
      </c>
      <c r="E38" s="6" t="s">
        <v>14</v>
      </c>
      <c r="F38" s="6" t="s">
        <v>15</v>
      </c>
      <c r="G38" s="6" t="s">
        <v>16</v>
      </c>
      <c r="H38" s="6" t="s">
        <v>17</v>
      </c>
      <c r="I38" s="6" t="s">
        <v>18</v>
      </c>
      <c r="J38" s="6" t="s">
        <v>19</v>
      </c>
      <c r="K38" s="6" t="s">
        <v>20</v>
      </c>
      <c r="L38" s="6" t="s">
        <v>21</v>
      </c>
      <c r="M38" s="6" t="s">
        <v>22</v>
      </c>
      <c r="AB38" s="1">
        <v>8</v>
      </c>
      <c r="AD38" s="54">
        <v>3.9</v>
      </c>
    </row>
    <row r="39" spans="1:30" ht="33.75" customHeight="1" x14ac:dyDescent="0.25">
      <c r="A39" s="14">
        <v>2018</v>
      </c>
      <c r="B39" s="15">
        <v>141.90000000000003</v>
      </c>
      <c r="C39" s="15">
        <v>178.20000000000002</v>
      </c>
      <c r="D39" s="15">
        <v>222.19999999999996</v>
      </c>
      <c r="E39" s="15">
        <v>153.69999999999996</v>
      </c>
      <c r="F39" s="16">
        <v>70.400000000000006</v>
      </c>
      <c r="G39" s="15">
        <v>196.6</v>
      </c>
      <c r="H39" s="15">
        <v>3</v>
      </c>
      <c r="I39" s="15">
        <v>0</v>
      </c>
      <c r="J39" s="15">
        <v>29.9</v>
      </c>
      <c r="K39" s="15">
        <v>87.6</v>
      </c>
      <c r="L39" s="15">
        <v>116.49999999999999</v>
      </c>
      <c r="M39" s="15">
        <v>167.89999999999998</v>
      </c>
      <c r="AB39" s="1">
        <v>12</v>
      </c>
      <c r="AD39" s="54">
        <v>30.7</v>
      </c>
    </row>
    <row r="40" spans="1:30" ht="33.75" customHeight="1" x14ac:dyDescent="0.25">
      <c r="A40" s="14">
        <v>2019</v>
      </c>
      <c r="B40" s="15">
        <v>332.79999999999995</v>
      </c>
      <c r="C40" s="15">
        <v>180.3</v>
      </c>
      <c r="D40" s="15">
        <v>210.09999999999997</v>
      </c>
      <c r="E40" s="15">
        <v>150.69999999999999</v>
      </c>
      <c r="F40" s="16">
        <v>93.800000000000011</v>
      </c>
      <c r="G40" s="15">
        <v>10</v>
      </c>
      <c r="H40" s="15">
        <v>14.399999999999999</v>
      </c>
      <c r="I40" s="15">
        <v>1</v>
      </c>
      <c r="J40" s="15">
        <v>0</v>
      </c>
      <c r="K40" s="15">
        <v>11.2</v>
      </c>
      <c r="L40" s="15">
        <v>74.599999999999994</v>
      </c>
      <c r="M40" s="15">
        <v>167.89999999999998</v>
      </c>
      <c r="AB40" s="1">
        <v>9</v>
      </c>
      <c r="AD40" s="1">
        <v>59.7</v>
      </c>
    </row>
    <row r="41" spans="1:30" ht="33.75" customHeight="1" x14ac:dyDescent="0.25">
      <c r="A41" s="14">
        <v>2020</v>
      </c>
      <c r="B41" s="15">
        <v>368.1</v>
      </c>
      <c r="C41" s="15">
        <v>297.90000000000003</v>
      </c>
      <c r="D41" s="15">
        <v>287.7</v>
      </c>
      <c r="E41" s="15">
        <v>202</v>
      </c>
      <c r="F41" s="16">
        <v>185.6</v>
      </c>
      <c r="G41" s="15">
        <v>79.900000000000006</v>
      </c>
      <c r="H41" s="15">
        <v>30.9</v>
      </c>
      <c r="I41" s="15">
        <v>28.8</v>
      </c>
      <c r="J41" s="15">
        <v>56.199999999999996</v>
      </c>
      <c r="K41" s="15">
        <v>62.1</v>
      </c>
      <c r="L41" s="15">
        <v>148.19999999999999</v>
      </c>
      <c r="M41" s="15">
        <v>178.99999999999997</v>
      </c>
      <c r="AB41" s="1">
        <v>20</v>
      </c>
      <c r="AD41" s="1">
        <v>46.7</v>
      </c>
    </row>
    <row r="42" spans="1:30" ht="30.75" customHeight="1" x14ac:dyDescent="0.25">
      <c r="A42" s="14">
        <v>2021</v>
      </c>
      <c r="B42" s="15">
        <v>198.7</v>
      </c>
      <c r="C42" s="15">
        <v>283.2</v>
      </c>
      <c r="D42" s="15">
        <v>120.40000000000002</v>
      </c>
      <c r="E42" s="15">
        <v>234</v>
      </c>
      <c r="F42" s="16">
        <v>49.900000000000006</v>
      </c>
      <c r="G42" s="15">
        <v>127.6</v>
      </c>
      <c r="H42" s="15">
        <v>45.3</v>
      </c>
      <c r="I42" s="15">
        <v>31.299999999999997</v>
      </c>
      <c r="J42" s="15">
        <v>207.9</v>
      </c>
      <c r="K42" s="15">
        <v>90.5</v>
      </c>
      <c r="L42" s="15">
        <v>209.20000000000002</v>
      </c>
      <c r="M42" s="15">
        <v>235.70000000000005</v>
      </c>
      <c r="AB42" s="1">
        <v>27</v>
      </c>
      <c r="AD42" s="1">
        <v>61.3</v>
      </c>
    </row>
    <row r="43" spans="1:30" ht="30" customHeight="1" x14ac:dyDescent="0.25">
      <c r="A43" s="46">
        <v>2022</v>
      </c>
      <c r="B43" s="20">
        <v>109.10000000000001</v>
      </c>
      <c r="C43" s="20">
        <v>120.99999999999999</v>
      </c>
      <c r="D43" s="20">
        <v>288.99999999999994</v>
      </c>
      <c r="E43" s="20">
        <v>184.50000000000003</v>
      </c>
      <c r="F43" s="21">
        <v>191.60000000000002</v>
      </c>
      <c r="G43" s="20">
        <v>114.59999999999998</v>
      </c>
      <c r="H43" s="20">
        <v>43.1</v>
      </c>
      <c r="I43" s="20">
        <v>101.10000000000001</v>
      </c>
      <c r="J43" s="20">
        <v>56.600000000000009</v>
      </c>
      <c r="K43" s="20">
        <v>200.39999999999998</v>
      </c>
      <c r="L43" s="20">
        <v>156.69999999999996</v>
      </c>
      <c r="M43" s="20">
        <v>152.5</v>
      </c>
    </row>
    <row r="44" spans="1:30" ht="27" customHeight="1" x14ac:dyDescent="0.25">
      <c r="A44" s="66" t="s">
        <v>27</v>
      </c>
      <c r="B44" s="66">
        <f>SUM(B39:B43)</f>
        <v>1150.5999999999999</v>
      </c>
      <c r="C44" s="66">
        <f t="shared" ref="C44:M44" si="7">SUM(C39:C43)</f>
        <v>1060.6000000000001</v>
      </c>
      <c r="D44" s="66">
        <f t="shared" si="7"/>
        <v>1129.3999999999999</v>
      </c>
      <c r="E44" s="66">
        <f t="shared" si="7"/>
        <v>924.9</v>
      </c>
      <c r="F44" s="66">
        <f t="shared" si="7"/>
        <v>591.30000000000007</v>
      </c>
      <c r="G44" s="66">
        <f t="shared" si="7"/>
        <v>528.70000000000005</v>
      </c>
      <c r="H44" s="66">
        <f t="shared" si="7"/>
        <v>136.69999999999999</v>
      </c>
      <c r="I44" s="66">
        <f t="shared" si="7"/>
        <v>162.19999999999999</v>
      </c>
      <c r="J44" s="66">
        <f t="shared" si="7"/>
        <v>350.6</v>
      </c>
      <c r="K44" s="66">
        <f t="shared" si="7"/>
        <v>451.79999999999995</v>
      </c>
      <c r="L44" s="66">
        <f t="shared" si="7"/>
        <v>705.19999999999993</v>
      </c>
      <c r="M44" s="66">
        <f t="shared" si="7"/>
        <v>903</v>
      </c>
    </row>
    <row r="45" spans="1:30" ht="27" customHeight="1" x14ac:dyDescent="0.25">
      <c r="A45" s="67" t="s">
        <v>28</v>
      </c>
      <c r="B45" s="67">
        <f>MAX(B39:B43)</f>
        <v>368.1</v>
      </c>
      <c r="C45" s="67">
        <f t="shared" ref="C45:M45" si="8">MAX(C39:C43)</f>
        <v>297.90000000000003</v>
      </c>
      <c r="D45" s="67">
        <f t="shared" si="8"/>
        <v>288.99999999999994</v>
      </c>
      <c r="E45" s="67">
        <f t="shared" si="8"/>
        <v>234</v>
      </c>
      <c r="F45" s="67">
        <f t="shared" si="8"/>
        <v>191.60000000000002</v>
      </c>
      <c r="G45" s="67">
        <f t="shared" si="8"/>
        <v>196.6</v>
      </c>
      <c r="H45" s="67">
        <f t="shared" si="8"/>
        <v>45.3</v>
      </c>
      <c r="I45" s="67">
        <f t="shared" si="8"/>
        <v>101.10000000000001</v>
      </c>
      <c r="J45" s="67">
        <f t="shared" si="8"/>
        <v>207.9</v>
      </c>
      <c r="K45" s="67">
        <f t="shared" si="8"/>
        <v>200.39999999999998</v>
      </c>
      <c r="L45" s="67">
        <f t="shared" si="8"/>
        <v>209.20000000000002</v>
      </c>
      <c r="M45" s="67">
        <f t="shared" si="8"/>
        <v>235.70000000000005</v>
      </c>
    </row>
    <row r="46" spans="1:30" ht="27" customHeight="1" x14ac:dyDescent="0.25">
      <c r="A46" s="68" t="s">
        <v>25</v>
      </c>
      <c r="B46" s="68">
        <f>MIN(B39:B43)</f>
        <v>109.10000000000001</v>
      </c>
      <c r="C46" s="68">
        <f t="shared" ref="C46:M46" si="9">MIN(C39:C43)</f>
        <v>120.99999999999999</v>
      </c>
      <c r="D46" s="68">
        <f t="shared" si="9"/>
        <v>120.40000000000002</v>
      </c>
      <c r="E46" s="68">
        <f t="shared" si="9"/>
        <v>150.69999999999999</v>
      </c>
      <c r="F46" s="68">
        <f t="shared" si="9"/>
        <v>49.900000000000006</v>
      </c>
      <c r="G46" s="68">
        <f t="shared" si="9"/>
        <v>10</v>
      </c>
      <c r="H46" s="68">
        <f t="shared" si="9"/>
        <v>3</v>
      </c>
      <c r="I46" s="68">
        <f t="shared" si="9"/>
        <v>0</v>
      </c>
      <c r="J46" s="68">
        <f t="shared" si="9"/>
        <v>0</v>
      </c>
      <c r="K46" s="68">
        <f t="shared" si="9"/>
        <v>11.2</v>
      </c>
      <c r="L46" s="68">
        <f t="shared" si="9"/>
        <v>74.599999999999994</v>
      </c>
      <c r="M46" s="68">
        <f t="shared" si="9"/>
        <v>152.5</v>
      </c>
    </row>
  </sheetData>
  <mergeCells count="3">
    <mergeCell ref="C1:M1"/>
    <mergeCell ref="C2:M2"/>
    <mergeCell ref="C3:M3"/>
  </mergeCells>
  <pageMargins left="0.42" right="0.16" top="0.53" bottom="1" header="0.25" footer="0.5"/>
  <pageSetup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 TEM</vt:lpstr>
      <vt:lpstr>JUM CH</vt:lpstr>
      <vt:lpstr>' TEM'!Print_Area</vt:lpstr>
      <vt:lpstr>'JUM CH'!Print_Area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Datin</dc:creator>
  <cp:lastModifiedBy>Samuel Silaban</cp:lastModifiedBy>
  <dcterms:created xsi:type="dcterms:W3CDTF">2026-08-31T04:53:56Z</dcterms:created>
  <dcterms:modified xsi:type="dcterms:W3CDTF">2026-09-08T02:24:50Z</dcterms:modified>
</cp:coreProperties>
</file>